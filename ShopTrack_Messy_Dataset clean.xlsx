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CD750792-495B-4A6C-B61C-630FE06A2FDB}" xr6:coauthVersionLast="47" xr6:coauthVersionMax="47" xr10:uidLastSave="{00000000-0000-0000-0000-000000000000}"/>
  <bookViews>
    <workbookView xWindow="-120" yWindow="-120" windowWidth="20730" windowHeight="11040" activeTab="2" xr2:uid="{00000000-000D-0000-FFFF-FFFF00000000}"/>
  </bookViews>
  <sheets>
    <sheet name="Pivot Tables" sheetId="2" r:id="rId1"/>
    <sheet name="Messy Sales Data" sheetId="1" r:id="rId2"/>
    <sheet name="Dashboard" sheetId="3" r:id="rId3"/>
  </sheets>
  <definedNames>
    <definedName name="_xlnm._FilterDatabase" localSheetId="1" hidden="1">'Messy Sales Data'!$A$1:$P$613</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9" i="1"/>
  <c r="O490" i="1"/>
  <c r="O491" i="1"/>
  <c r="O492" i="1"/>
  <c r="O493"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6" i="1"/>
  <c r="O607" i="1"/>
  <c r="O608" i="1"/>
  <c r="O609" i="1"/>
  <c r="O610" i="1"/>
  <c r="O611" i="1"/>
  <c r="O612" i="1"/>
  <c r="O613" i="1"/>
  <c r="O2" i="1"/>
  <c r="N88" i="1"/>
  <c r="O88" i="1" s="1"/>
  <c r="N144" i="1"/>
  <c r="O144" i="1" s="1"/>
  <c r="N226" i="1"/>
  <c r="O226" i="1" s="1"/>
  <c r="N321" i="1"/>
  <c r="O321" i="1" s="1"/>
  <c r="N349" i="1"/>
  <c r="O349" i="1" s="1"/>
  <c r="N438" i="1"/>
  <c r="N449" i="1"/>
  <c r="O449" i="1" s="1"/>
  <c r="N488" i="1"/>
  <c r="O488" i="1" s="1"/>
  <c r="N494" i="1"/>
  <c r="O494" i="1" s="1"/>
  <c r="N520" i="1"/>
  <c r="O520" i="1" s="1"/>
  <c r="N579" i="1"/>
  <c r="O579" i="1" s="1"/>
  <c r="N605" i="1"/>
  <c r="O605" i="1" s="1"/>
  <c r="T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2" i="1"/>
</calcChain>
</file>

<file path=xl/sharedStrings.xml><?xml version="1.0" encoding="utf-8"?>
<sst xmlns="http://schemas.openxmlformats.org/spreadsheetml/2006/main" count="5584" uniqueCount="703">
  <si>
    <t>Order ID</t>
  </si>
  <si>
    <t>Customer Name</t>
  </si>
  <si>
    <t>Product</t>
  </si>
  <si>
    <t>Category</t>
  </si>
  <si>
    <t>Region</t>
  </si>
  <si>
    <t>City</t>
  </si>
  <si>
    <t>Quantity</t>
  </si>
  <si>
    <t>Unit Price</t>
  </si>
  <si>
    <t>Total Sales</t>
  </si>
  <si>
    <t>Net Sales</t>
  </si>
  <si>
    <t>Payment Method</t>
  </si>
  <si>
    <t>Order Status</t>
  </si>
  <si>
    <t>Order Date</t>
  </si>
  <si>
    <t>Sales Rep</t>
  </si>
  <si>
    <t>ORD-0498</t>
  </si>
  <si>
    <t>Speaker</t>
  </si>
  <si>
    <t>Accessories</t>
  </si>
  <si>
    <t>South</t>
  </si>
  <si>
    <t>Benin</t>
  </si>
  <si>
    <t>Transfer</t>
  </si>
  <si>
    <t>Cancelled</t>
  </si>
  <si>
    <t>REP-03</t>
  </si>
  <si>
    <t>ORD-0245</t>
  </si>
  <si>
    <t>Bola Tinubu</t>
  </si>
  <si>
    <t>Central</t>
  </si>
  <si>
    <t>Jos</t>
  </si>
  <si>
    <t>Refunded</t>
  </si>
  <si>
    <t>ORD-0553</t>
  </si>
  <si>
    <t>Printer</t>
  </si>
  <si>
    <t>Electronics</t>
  </si>
  <si>
    <t>East</t>
  </si>
  <si>
    <t>Aba</t>
  </si>
  <si>
    <t>REP-09</t>
  </si>
  <si>
    <t>ORD-0214</t>
  </si>
  <si>
    <t>Wale Adeniji</t>
  </si>
  <si>
    <t>North</t>
  </si>
  <si>
    <t>Kano</t>
  </si>
  <si>
    <t>POS</t>
  </si>
  <si>
    <t>Pending</t>
  </si>
  <si>
    <t>REP-01</t>
  </si>
  <si>
    <t>ORD-0550</t>
  </si>
  <si>
    <t>Fatima Bello</t>
  </si>
  <si>
    <t>Tablet</t>
  </si>
  <si>
    <t>West</t>
  </si>
  <si>
    <t>Osogbo</t>
  </si>
  <si>
    <t>REP-07</t>
  </si>
  <si>
    <t>ORD-0507</t>
  </si>
  <si>
    <t>Headphones</t>
  </si>
  <si>
    <t>Lokoja</t>
  </si>
  <si>
    <t>Cash</t>
  </si>
  <si>
    <t>ORD-0528</t>
  </si>
  <si>
    <t>Keyboard</t>
  </si>
  <si>
    <t>ORD-0078</t>
  </si>
  <si>
    <t>Ngozi Adeyemi</t>
  </si>
  <si>
    <t>Monitor</t>
  </si>
  <si>
    <t>REP-02</t>
  </si>
  <si>
    <t>ORD-0532</t>
  </si>
  <si>
    <t>Kemi Adebayo</t>
  </si>
  <si>
    <t>Camera</t>
  </si>
  <si>
    <t>Onitsha</t>
  </si>
  <si>
    <t>Card</t>
  </si>
  <si>
    <t>ORD-0146</t>
  </si>
  <si>
    <t>Ade Coker</t>
  </si>
  <si>
    <t>Laptop</t>
  </si>
  <si>
    <t>Completed</t>
  </si>
  <si>
    <t>REP-05</t>
  </si>
  <si>
    <t>ORD-0269</t>
  </si>
  <si>
    <t>Aisha Garba</t>
  </si>
  <si>
    <t>Abuja</t>
  </si>
  <si>
    <t>ORD-0032</t>
  </si>
  <si>
    <t>Mouse</t>
  </si>
  <si>
    <t>Makurdi</t>
  </si>
  <si>
    <t>ORD-0056</t>
  </si>
  <si>
    <t>Port Harcourt</t>
  </si>
  <si>
    <t>REP-10</t>
  </si>
  <si>
    <t>ORD-0091</t>
  </si>
  <si>
    <t>Yemi Fashola</t>
  </si>
  <si>
    <t>REP-06</t>
  </si>
  <si>
    <t>ORD-0415</t>
  </si>
  <si>
    <t>ORD-0077</t>
  </si>
  <si>
    <t>Remi Olawale</t>
  </si>
  <si>
    <t>Phone</t>
  </si>
  <si>
    <t>Lagos</t>
  </si>
  <si>
    <t>REP-08</t>
  </si>
  <si>
    <t>ORD-0003</t>
  </si>
  <si>
    <t>Uche Obiora</t>
  </si>
  <si>
    <t>ORD-0480</t>
  </si>
  <si>
    <t>Sola Oduya</t>
  </si>
  <si>
    <t>ORD-0189</t>
  </si>
  <si>
    <t>ORD-0376</t>
  </si>
  <si>
    <t>Chidi Eze</t>
  </si>
  <si>
    <t>ORD-0132</t>
  </si>
  <si>
    <t>Ibrahim Musa</t>
  </si>
  <si>
    <t>ORD-0149</t>
  </si>
  <si>
    <t>ORD-0050</t>
  </si>
  <si>
    <t>Amara Okafor</t>
  </si>
  <si>
    <t>ORD-0215</t>
  </si>
  <si>
    <t>ORD-0478</t>
  </si>
  <si>
    <t>Abeokuta</t>
  </si>
  <si>
    <t>#4308</t>
  </si>
  <si>
    <t>ORD-0159</t>
  </si>
  <si>
    <t>Musa Aliyu</t>
  </si>
  <si>
    <t>ORD-0594</t>
  </si>
  <si>
    <t>Tunde Afolabi</t>
  </si>
  <si>
    <t>ORD-0595</t>
  </si>
  <si>
    <t>ORD-0404</t>
  </si>
  <si>
    <t>ORD-0164</t>
  </si>
  <si>
    <t>Seun Kuti</t>
  </si>
  <si>
    <t>Kaduna</t>
  </si>
  <si>
    <t>ORD-0265</t>
  </si>
  <si>
    <t>ord556</t>
  </si>
  <si>
    <t>ORD-0290</t>
  </si>
  <si>
    <t>ORD-0133</t>
  </si>
  <si>
    <t>ORD-0332</t>
  </si>
  <si>
    <t>Hauwa Danjuma</t>
  </si>
  <si>
    <t>ORD-0454</t>
  </si>
  <si>
    <t>ORD-0575</t>
  </si>
  <si>
    <t>ORD-0317</t>
  </si>
  <si>
    <t>ORD-0319</t>
  </si>
  <si>
    <t>Emeka Nwosu</t>
  </si>
  <si>
    <t>ORD-0358</t>
  </si>
  <si>
    <t>ORD-0040</t>
  </si>
  <si>
    <t>REP-04</t>
  </si>
  <si>
    <t>ORD-0087</t>
  </si>
  <si>
    <t>ORD-0339</t>
  </si>
  <si>
    <t>Enugu</t>
  </si>
  <si>
    <t>ORD-0418</t>
  </si>
  <si>
    <t>ORD-0210</t>
  </si>
  <si>
    <t>ORD-0474</t>
  </si>
  <si>
    <t>ORD-0572</t>
  </si>
  <si>
    <t>ORD-0079</t>
  </si>
  <si>
    <t>ORD-0351</t>
  </si>
  <si>
    <t>ORD-0177</t>
  </si>
  <si>
    <t>ORD-0287</t>
  </si>
  <si>
    <t>ORD-0011</t>
  </si>
  <si>
    <t>ORD-0262</t>
  </si>
  <si>
    <t>ORD-0471</t>
  </si>
  <si>
    <t>ORD-0175</t>
  </si>
  <si>
    <t>ORD-0136</t>
  </si>
  <si>
    <t>ORD-0457</t>
  </si>
  <si>
    <t>ORD-0212</t>
  </si>
  <si>
    <t>ORDER-676</t>
  </si>
  <si>
    <t>Ibadan</t>
  </si>
  <si>
    <t>ORD-0585</t>
  </si>
  <si>
    <t>ORD-0495</t>
  </si>
  <si>
    <t>ORD-0342</t>
  </si>
  <si>
    <t>ORD-0042</t>
  </si>
  <si>
    <t>ORD-0588</t>
  </si>
  <si>
    <t>ORD-0266</t>
  </si>
  <si>
    <t>ORD-0057</t>
  </si>
  <si>
    <t>ORD-0405</t>
  </si>
  <si>
    <t>ORD-0540</t>
  </si>
  <si>
    <t>ORD-0397</t>
  </si>
  <si>
    <t>ORD-0156</t>
  </si>
  <si>
    <t>ORD-0025</t>
  </si>
  <si>
    <t>ORD-0083</t>
  </si>
  <si>
    <t>ORD-0365</t>
  </si>
  <si>
    <t>Chioma Obi</t>
  </si>
  <si>
    <t>ORD-0216</t>
  </si>
  <si>
    <t>ORD-0599</t>
  </si>
  <si>
    <t>ORD-0488</t>
  </si>
  <si>
    <t>ORD-0071</t>
  </si>
  <si>
    <t>ORD-0364</t>
  </si>
  <si>
    <t>ORD-0375</t>
  </si>
  <si>
    <t>ORD-0282</t>
  </si>
  <si>
    <t>ORD-0061</t>
  </si>
  <si>
    <t>ORD-0406</t>
  </si>
  <si>
    <t>ORD-0413</t>
  </si>
  <si>
    <t>ORD-0211</t>
  </si>
  <si>
    <t>ORD-0600</t>
  </si>
  <si>
    <t>ORD-0166</t>
  </si>
  <si>
    <t>ORD-0248</t>
  </si>
  <si>
    <t>ORD-0276</t>
  </si>
  <si>
    <t>ORD-0258</t>
  </si>
  <si>
    <t>ORD-0291</t>
  </si>
  <si>
    <t>ORD-0458</t>
  </si>
  <si>
    <t>ORD-0030</t>
  </si>
  <si>
    <t>ORD-0193</t>
  </si>
  <si>
    <t>#3203</t>
  </si>
  <si>
    <t>ORD-0305</t>
  </si>
  <si>
    <t>ORD-0229</t>
  </si>
  <si>
    <t>ORD-0279</t>
  </si>
  <si>
    <t>ORD-0299</t>
  </si>
  <si>
    <t>ORD-0275</t>
  </si>
  <si>
    <t>ORD-0205</t>
  </si>
  <si>
    <t>ORD-0430</t>
  </si>
  <si>
    <t>ORD-0453</t>
  </si>
  <si>
    <t>ORD-0596</t>
  </si>
  <si>
    <t>ORD-0300</t>
  </si>
  <si>
    <t>ORD-0082</t>
  </si>
  <si>
    <t>ORD-0228</t>
  </si>
  <si>
    <t>ORD-0110</t>
  </si>
  <si>
    <t>ORD-0249</t>
  </si>
  <si>
    <t>ORD-0426</t>
  </si>
  <si>
    <t>ORD-0064</t>
  </si>
  <si>
    <t>ORD-0548</t>
  </si>
  <si>
    <t>ORD-0073</t>
  </si>
  <si>
    <t>ORD-0569</t>
  </si>
  <si>
    <t>ORD-0285</t>
  </si>
  <si>
    <t>ORD-0119</t>
  </si>
  <si>
    <t>ORD-0590</t>
  </si>
  <si>
    <t>ORD-0292</t>
  </si>
  <si>
    <t>ORD-0381</t>
  </si>
  <si>
    <t>ORD-0213</t>
  </si>
  <si>
    <t>ORD-0141</t>
  </si>
  <si>
    <t>ORD-0389</t>
  </si>
  <si>
    <t>ORD-0323</t>
  </si>
  <si>
    <t>ORD-0219</t>
  </si>
  <si>
    <t>ORD-0463</t>
  </si>
  <si>
    <t>ORD-0512</t>
  </si>
  <si>
    <t>ORD-0336</t>
  </si>
  <si>
    <t>ORD-0007</t>
  </si>
  <si>
    <t>Accessory</t>
  </si>
  <si>
    <t>ORD-0105</t>
  </si>
  <si>
    <t>ORD-0115</t>
  </si>
  <si>
    <t>ORD-0534</t>
  </si>
  <si>
    <t>ORD-0185</t>
  </si>
  <si>
    <t>ORD-0239</t>
  </si>
  <si>
    <t>ORD-0517</t>
  </si>
  <si>
    <t>ORD-0437</t>
  </si>
  <si>
    <t>ORD-0341</t>
  </si>
  <si>
    <t>ORD-0424</t>
  </si>
  <si>
    <t>ORD-0303</t>
  </si>
  <si>
    <t>ORD-0564</t>
  </si>
  <si>
    <t>ORD-0396</t>
  </si>
  <si>
    <t>ORD-0297</t>
  </si>
  <si>
    <t>ORD-0486</t>
  </si>
  <si>
    <t>ORD-0043</t>
  </si>
  <si>
    <t>ORD-0074</t>
  </si>
  <si>
    <t>ORD-0546</t>
  </si>
  <si>
    <t>ORD-0067</t>
  </si>
  <si>
    <t>ORD-0012</t>
  </si>
  <si>
    <t>ORD-0593</t>
  </si>
  <si>
    <t>ORD-0421</t>
  </si>
  <si>
    <t>ORD-0400</t>
  </si>
  <si>
    <t>ORD-0357</t>
  </si>
  <si>
    <t>ORD-0084</t>
  </si>
  <si>
    <t>ORD-0288</t>
  </si>
  <si>
    <t>ORD-0370</t>
  </si>
  <si>
    <t>ORD-0080</t>
  </si>
  <si>
    <t>ORD-0024</t>
  </si>
  <si>
    <t>ORD-0584</t>
  </si>
  <si>
    <t>ORD-0311</t>
  </si>
  <si>
    <t>ORD-0589</t>
  </si>
  <si>
    <t>ORD-0197</t>
  </si>
  <si>
    <t>ORD-0482</t>
  </si>
  <si>
    <t>ORD-0260</t>
  </si>
  <si>
    <t>ORDER-37</t>
  </si>
  <si>
    <t>ORD-0232</t>
  </si>
  <si>
    <t>ORD-0306</t>
  </si>
  <si>
    <t>ORD-0178</t>
  </si>
  <si>
    <t>ORD-0010</t>
  </si>
  <si>
    <t>ORD-0204</t>
  </si>
  <si>
    <t>ORD-0514</t>
  </si>
  <si>
    <t>ORD-0329</t>
  </si>
  <si>
    <t>ORD-0573</t>
  </si>
  <si>
    <t>ORD-0272</t>
  </si>
  <si>
    <t>ORD-0085</t>
  </si>
  <si>
    <t>ORD-0182</t>
  </si>
  <si>
    <t>ORD-0347</t>
  </si>
  <si>
    <t>ORD-0447</t>
  </si>
  <si>
    <t>ORD-0519</t>
  </si>
  <si>
    <t>ORD-0504</t>
  </si>
  <si>
    <t>ORD-0250</t>
  </si>
  <si>
    <t>ORD-0179</t>
  </si>
  <si>
    <t>ORD-0221</t>
  </si>
  <si>
    <t>ORD-0154</t>
  </si>
  <si>
    <t>ORD-0076</t>
  </si>
  <si>
    <t>ORD-0093</t>
  </si>
  <si>
    <t>ORD-0500</t>
  </si>
  <si>
    <t>ORD-0069</t>
  </si>
  <si>
    <t>ORD-0016</t>
  </si>
  <si>
    <t>ORD-0200</t>
  </si>
  <si>
    <t>ORD-0574</t>
  </si>
  <si>
    <t>ORD-0089</t>
  </si>
  <si>
    <t>ORD-0527</t>
  </si>
  <si>
    <t>ORD-0118</t>
  </si>
  <si>
    <t>ORD-0425</t>
  </si>
  <si>
    <t>ORD-0451</t>
  </si>
  <si>
    <t>ORD-0034</t>
  </si>
  <si>
    <t>ORD-0001</t>
  </si>
  <si>
    <t>ORD-0209</t>
  </si>
  <si>
    <t>ORD-0382</t>
  </si>
  <si>
    <t>ORD-0579</t>
  </si>
  <si>
    <t>ORD-0523</t>
  </si>
  <si>
    <t>ORD-0278</t>
  </si>
  <si>
    <t>ORD-0023</t>
  </si>
  <si>
    <t>ORD-0477</t>
  </si>
  <si>
    <t>ORD-0117</t>
  </si>
  <si>
    <t>ORD-0090</t>
  </si>
  <si>
    <t>ORD-0183</t>
  </si>
  <si>
    <t>ORD-0251</t>
  </si>
  <si>
    <t>ORD-0261</t>
  </si>
  <si>
    <t>ORD-0019</t>
  </si>
  <si>
    <t>#1440</t>
  </si>
  <si>
    <t>ORD-0355</t>
  </si>
  <si>
    <t>ORD-0145</t>
  </si>
  <si>
    <t>ORD-0312</t>
  </si>
  <si>
    <t>ORD-0313</t>
  </si>
  <si>
    <t>ORD-0399</t>
  </si>
  <si>
    <t>ORD-0586</t>
  </si>
  <si>
    <t>ORD-0444</t>
  </si>
  <si>
    <t>ORD-0445</t>
  </si>
  <si>
    <t>ORD-0168</t>
  </si>
  <si>
    <t>ord733</t>
  </si>
  <si>
    <t>ORD-0443</t>
  </si>
  <si>
    <t>ORD-0047</t>
  </si>
  <si>
    <t>ORD-0094</t>
  </si>
  <si>
    <t>ORD-0293</t>
  </si>
  <si>
    <t>ORD-0429</t>
  </si>
  <si>
    <t>ORD-0109</t>
  </si>
  <si>
    <t>ORD-0302</t>
  </si>
  <si>
    <t>ORD-0196</t>
  </si>
  <si>
    <t>ORD-0362</t>
  </si>
  <si>
    <t>ORD-0522</t>
  </si>
  <si>
    <t>ORD-0487</t>
  </si>
  <si>
    <t>ORD-0236</t>
  </si>
  <si>
    <t>ORD-0576</t>
  </si>
  <si>
    <t>ORD-0423</t>
  </si>
  <si>
    <t>ORD-0008</t>
  </si>
  <si>
    <t>ORD-0577</t>
  </si>
  <si>
    <t>ORD-0439</t>
  </si>
  <si>
    <t>ORD-0410</t>
  </si>
  <si>
    <t>ORD-0235</t>
  </si>
  <si>
    <t>ORD-0516</t>
  </si>
  <si>
    <t>ORD-????</t>
  </si>
  <si>
    <t>ORD-0560</t>
  </si>
  <si>
    <t>ORD-0449</t>
  </si>
  <si>
    <t>ORD-0491</t>
  </si>
  <si>
    <t>ORD-0497</t>
  </si>
  <si>
    <t>ORD-0320</t>
  </si>
  <si>
    <t>ORD-0150</t>
  </si>
  <si>
    <t>ORD-0125</t>
  </si>
  <si>
    <t>ORD-0568</t>
  </si>
  <si>
    <t>ORD-0541</t>
  </si>
  <si>
    <t>ORD-0186</t>
  </si>
  <si>
    <t>ORD-0544</t>
  </si>
  <si>
    <t>ORD-0322</t>
  </si>
  <si>
    <t>ORD-0343</t>
  </si>
  <si>
    <t>ORD-0580</t>
  </si>
  <si>
    <t>ORD-0506</t>
  </si>
  <si>
    <t>ORD-0142</t>
  </si>
  <si>
    <t>ORD-0321</t>
  </si>
  <si>
    <t>ORD-0020</t>
  </si>
  <si>
    <t>ORD-0173</t>
  </si>
  <si>
    <t>ORD-0520</t>
  </si>
  <si>
    <t>ORD-0026</t>
  </si>
  <si>
    <t>ORD-0417</t>
  </si>
  <si>
    <t>ORD-0494</t>
  </si>
  <si>
    <t>ORD-0427</t>
  </si>
  <si>
    <t>ORD-0328</t>
  </si>
  <si>
    <t>ORD-0246</t>
  </si>
  <si>
    <t>ORD-0350</t>
  </si>
  <si>
    <t>ORD-0273</t>
  </si>
  <si>
    <t>ORD-0155</t>
  </si>
  <si>
    <t>ORD-0127</t>
  </si>
  <si>
    <t>ORD-0551</t>
  </si>
  <si>
    <t>ORD-0114</t>
  </si>
  <si>
    <t>ORD-0535</t>
  </si>
  <si>
    <t>ORD-0174</t>
  </si>
  <si>
    <t>ORD-0058</t>
  </si>
  <si>
    <t>ORD-0356</t>
  </si>
  <si>
    <t>ORD-0223</t>
  </si>
  <si>
    <t>ORD-0281</t>
  </si>
  <si>
    <t>ORD-0018</t>
  </si>
  <si>
    <t>ORD-0330</t>
  </si>
  <si>
    <t>ORD-0256</t>
  </si>
  <si>
    <t>ORD-0337</t>
  </si>
  <si>
    <t>ORD-0191</t>
  </si>
  <si>
    <t>ORD-0353</t>
  </si>
  <si>
    <t>ORD-0552</t>
  </si>
  <si>
    <t>ORD-0301</t>
  </si>
  <si>
    <t>ORD-0095</t>
  </si>
  <si>
    <t>ORD-0181</t>
  </si>
  <si>
    <t>ORD-0409</t>
  </si>
  <si>
    <t>ORD-0366</t>
  </si>
  <si>
    <t>ORD-0363</t>
  </si>
  <si>
    <t>ORD-0345</t>
  </si>
  <si>
    <t>ORD-0006</t>
  </si>
  <si>
    <t>ORD-0046</t>
  </si>
  <si>
    <t>ORD-0408</t>
  </si>
  <si>
    <t>ORD-0432</t>
  </si>
  <si>
    <t>ORD-0422</t>
  </si>
  <si>
    <t>ORD-0017</t>
  </si>
  <si>
    <t>ORD-0049</t>
  </si>
  <si>
    <t>ORD-0004</t>
  </si>
  <si>
    <t>ORD-0361</t>
  </si>
  <si>
    <t>ORD-0333</t>
  </si>
  <si>
    <t>ORD-0489</t>
  </si>
  <si>
    <t>ORD-0412</t>
  </si>
  <si>
    <t>ORD-0484</t>
  </si>
  <si>
    <t>ORD-0334</t>
  </si>
  <si>
    <t>ORD-0226</t>
  </si>
  <si>
    <t>ORD-0027</t>
  </si>
  <si>
    <t>ORD-0479</t>
  </si>
  <si>
    <t>ORD-0264</t>
  </si>
  <si>
    <t>ORD-0051</t>
  </si>
  <si>
    <t>ORD-0230</t>
  </si>
  <si>
    <t>ORD-0038</t>
  </si>
  <si>
    <t>ORD-0158</t>
  </si>
  <si>
    <t>ORD-0238</t>
  </si>
  <si>
    <t>ORD-0344</t>
  </si>
  <si>
    <t>ORD-0176</t>
  </si>
  <si>
    <t>ORD-0542</t>
  </si>
  <si>
    <t>ORD-0195</t>
  </si>
  <si>
    <t>ORD-0530</t>
  </si>
  <si>
    <t>ORD-0383</t>
  </si>
  <si>
    <t>ORD-0053</t>
  </si>
  <si>
    <t>ORD-0536</t>
  </si>
  <si>
    <t>ORD-0068</t>
  </si>
  <si>
    <t>ORD-0354</t>
  </si>
  <si>
    <t>ORD-0169</t>
  </si>
  <si>
    <t>ORD-0163</t>
  </si>
  <si>
    <t>ORD-0310</t>
  </si>
  <si>
    <t>ORD-0194</t>
  </si>
  <si>
    <t>ORD-0384</t>
  </si>
  <si>
    <t>ORD-0153</t>
  </si>
  <si>
    <t>ORD-0227</t>
  </si>
  <si>
    <t>ORD-0368</t>
  </si>
  <si>
    <t>ORD-0104</t>
  </si>
  <si>
    <t>ORD-0435</t>
  </si>
  <si>
    <t>ORD-0075</t>
  </si>
  <si>
    <t>ORD-0470</t>
  </si>
  <si>
    <t>ORD-0373</t>
  </si>
  <si>
    <t>ORD-0120</t>
  </si>
  <si>
    <t>ORD-0431</t>
  </si>
  <si>
    <t>ORD-0578</t>
  </si>
  <si>
    <t>ORD-0592</t>
  </si>
  <si>
    <t>ORD-0208</t>
  </si>
  <si>
    <t>ORD-0371</t>
  </si>
  <si>
    <t>ORD-0391</t>
  </si>
  <si>
    <t>ORD-0378</t>
  </si>
  <si>
    <t>ORD-0450</t>
  </si>
  <si>
    <t>ORD-0009</t>
  </si>
  <si>
    <t>ORD-0420</t>
  </si>
  <si>
    <t>ORD-0037</t>
  </si>
  <si>
    <t>ORD-0140</t>
  </si>
  <si>
    <t>ORD-0254</t>
  </si>
  <si>
    <t>ORD-0304</t>
  </si>
  <si>
    <t>ORD-0434</t>
  </si>
  <si>
    <t>ORD-0369</t>
  </si>
  <si>
    <t>ORD-0060</t>
  </si>
  <si>
    <t>ORD-0112</t>
  </si>
  <si>
    <t>ORD-0538</t>
  </si>
  <si>
    <t>ORD-0582</t>
  </si>
  <si>
    <t>ORD-0518</t>
  </si>
  <si>
    <t>ORD-0263</t>
  </si>
  <si>
    <t>ORD-0524</t>
  </si>
  <si>
    <t>ORD-0298</t>
  </si>
  <si>
    <t>ord311</t>
  </si>
  <si>
    <t>ORD-0267</t>
  </si>
  <si>
    <t>ORD-0543</t>
  </si>
  <si>
    <t>ORD-0360</t>
  </si>
  <si>
    <t>ORD-0555</t>
  </si>
  <si>
    <t>ORD-0039</t>
  </si>
  <si>
    <t>ORD-0481</t>
  </si>
  <si>
    <t>ORD-0308</t>
  </si>
  <si>
    <t>ORD-0199</t>
  </si>
  <si>
    <t>ORD-0352</t>
  </si>
  <si>
    <t>ORD-0394</t>
  </si>
  <si>
    <t>ORD-0147</t>
  </si>
  <si>
    <t>ORD-0583</t>
  </si>
  <si>
    <t>ORD-0557</t>
  </si>
  <si>
    <t>ORD-0148</t>
  </si>
  <si>
    <t>ORD-0349</t>
  </si>
  <si>
    <t>ORD-0326</t>
  </si>
  <si>
    <t>ORD-0124</t>
  </si>
  <si>
    <t>ORD-0529</t>
  </si>
  <si>
    <t>ORD-0097</t>
  </si>
  <si>
    <t>ORD-0144</t>
  </si>
  <si>
    <t>ORD-0240</t>
  </si>
  <si>
    <t>ORD-0395</t>
  </si>
  <si>
    <t>ORD-0537</t>
  </si>
  <si>
    <t>ORD-0098</t>
  </si>
  <si>
    <t>ORD-0372</t>
  </si>
  <si>
    <t>ORD-0325</t>
  </si>
  <si>
    <t>ORD-0280</t>
  </si>
  <si>
    <t>ORD-0294</t>
  </si>
  <si>
    <t>ORD-0255</t>
  </si>
  <si>
    <t>ORD-0401</t>
  </si>
  <si>
    <t>ORD-0123</t>
  </si>
  <si>
    <t>#6779</t>
  </si>
  <si>
    <t>ORD-0203</t>
  </si>
  <si>
    <t>ORD-0324</t>
  </si>
  <si>
    <t>ORD-0247</t>
  </si>
  <si>
    <t>ORD-0416</t>
  </si>
  <si>
    <t>ORD-0465</t>
  </si>
  <si>
    <t>ORD-0452</t>
  </si>
  <si>
    <t>ORD-0545</t>
  </si>
  <si>
    <t>ORD-0464</t>
  </si>
  <si>
    <t>ORD-0554</t>
  </si>
  <si>
    <t>ORD-0433</t>
  </si>
  <si>
    <t>#9032</t>
  </si>
  <si>
    <t>ORD-0403</t>
  </si>
  <si>
    <t>ORD-0224</t>
  </si>
  <si>
    <t>ORD-0054</t>
  </si>
  <si>
    <t>ORD-0220</t>
  </si>
  <si>
    <t>ORD-0130</t>
  </si>
  <si>
    <t>ORD-0570</t>
  </si>
  <si>
    <t>ORD-0438</t>
  </si>
  <si>
    <t>ORD-0539</t>
  </si>
  <si>
    <t>ORD-0440</t>
  </si>
  <si>
    <t>ORD-0101</t>
  </si>
  <si>
    <t>ORD-0448</t>
  </si>
  <si>
    <t>ORD-0387</t>
  </si>
  <si>
    <t>ORD-0393</t>
  </si>
  <si>
    <t>ORD-0295</t>
  </si>
  <si>
    <t>ORD-0268</t>
  </si>
  <si>
    <t>ORD-0052</t>
  </si>
  <si>
    <t>ORD-0442</t>
  </si>
  <si>
    <t>ORD-0469</t>
  </si>
  <si>
    <t>ORD-0113</t>
  </si>
  <si>
    <t>ORD-0180</t>
  </si>
  <si>
    <t>ORD-0468</t>
  </si>
  <si>
    <t>ORD-0513</t>
  </si>
  <si>
    <t>ORD-0501</t>
  </si>
  <si>
    <t>ORD-0374</t>
  </si>
  <si>
    <t>ORD-0315</t>
  </si>
  <si>
    <t>ORD-0152</t>
  </si>
  <si>
    <t>ORD-0172</t>
  </si>
  <si>
    <t>ORD-0234</t>
  </si>
  <si>
    <t>ORD-0307</t>
  </si>
  <si>
    <t>ORD-0598</t>
  </si>
  <si>
    <t>ORD-0165</t>
  </si>
  <si>
    <t>ORD-0318</t>
  </si>
  <si>
    <t>ORD-0137</t>
  </si>
  <si>
    <t>ORD-0411</t>
  </si>
  <si>
    <t>ORD-0559</t>
  </si>
  <si>
    <t>ORD-0198</t>
  </si>
  <si>
    <t>ORD-0359</t>
  </si>
  <si>
    <t>ORD-0259</t>
  </si>
  <si>
    <t>ORD-0233</t>
  </si>
  <si>
    <t>ORD-0515</t>
  </si>
  <si>
    <t>ORD-0116</t>
  </si>
  <si>
    <t>ORD-0121</t>
  </si>
  <si>
    <t>ORD-0483</t>
  </si>
  <si>
    <t>ORD-0283</t>
  </si>
  <si>
    <t>ORD-0377</t>
  </si>
  <si>
    <t>ORD-0385</t>
  </si>
  <si>
    <t>ORD-0225</t>
  </si>
  <si>
    <t>ORD-0597</t>
  </si>
  <si>
    <t>ORD-0508</t>
  </si>
  <si>
    <t>ORD-0473</t>
  </si>
  <si>
    <t>ORD-0348</t>
  </si>
  <si>
    <t>ORD-0128</t>
  </si>
  <si>
    <t>#7003</t>
  </si>
  <si>
    <t>ORD-0446</t>
  </si>
  <si>
    <t>ORD-0286</t>
  </si>
  <si>
    <t>ORD-0581</t>
  </si>
  <si>
    <t>ORD-0044</t>
  </si>
  <si>
    <t>ORD-0108</t>
  </si>
  <si>
    <t>ORD-0531</t>
  </si>
  <si>
    <t>ORD-0496</t>
  </si>
  <si>
    <t>ORD-0134</t>
  </si>
  <si>
    <t>ORD-0441</t>
  </si>
  <si>
    <t>ORD-0062</t>
  </si>
  <si>
    <t>ORD-0045</t>
  </si>
  <si>
    <t>ORD-0170</t>
  </si>
  <si>
    <t>ORD-0066</t>
  </si>
  <si>
    <t>ORD-0284</t>
  </si>
  <si>
    <t>ORD-0086</t>
  </si>
  <si>
    <t>ORD-0243</t>
  </si>
  <si>
    <t>ORD-0187</t>
  </si>
  <si>
    <t>ORD-0327</t>
  </si>
  <si>
    <t>ORD-0160</t>
  </si>
  <si>
    <t>ORD-0013</t>
  </si>
  <si>
    <t>ORD-0036</t>
  </si>
  <si>
    <t>ORD-0029</t>
  </si>
  <si>
    <t>ORD-0171</t>
  </si>
  <si>
    <t>ORD-0143</t>
  </si>
  <si>
    <t>ORD-0533</t>
  </si>
  <si>
    <t>ORD-0525</t>
  </si>
  <si>
    <t>ORD-0591</t>
  </si>
  <si>
    <t>ORD-0222</t>
  </si>
  <si>
    <t>ORD-0571</t>
  </si>
  <si>
    <t>ORD-0096</t>
  </si>
  <si>
    <t>ORD-0241</t>
  </si>
  <si>
    <t>ORD-0461</t>
  </si>
  <si>
    <t>ORD-0547</t>
  </si>
  <si>
    <t>ORD-0207</t>
  </si>
  <si>
    <t>ORD-0398</t>
  </si>
  <si>
    <t>ORD-0526</t>
  </si>
  <si>
    <t>ORD-0218</t>
  </si>
  <si>
    <t>ORD-0005</t>
  </si>
  <si>
    <t>ORD-0558</t>
  </si>
  <si>
    <t>ORD-0099</t>
  </si>
  <si>
    <t>ORD-0407</t>
  </si>
  <si>
    <t>ORD-0503</t>
  </si>
  <si>
    <t>ORD-0048</t>
  </si>
  <si>
    <t>ORD-0033</t>
  </si>
  <si>
    <t>ORD-0201</t>
  </si>
  <si>
    <t>ORD-0135</t>
  </si>
  <si>
    <t>ORD-0549</t>
  </si>
  <si>
    <t>ORD-0231</t>
  </si>
  <si>
    <t>ORD-0490</t>
  </si>
  <si>
    <t>ORD-0379</t>
  </si>
  <si>
    <t>ORD-0289</t>
  </si>
  <si>
    <t>ORD-0419</t>
  </si>
  <si>
    <t>ord329</t>
  </si>
  <si>
    <t>ORD-0499</t>
  </si>
  <si>
    <t>ORD-0139</t>
  </si>
  <si>
    <t>ORD-0063</t>
  </si>
  <si>
    <t>ORD-0472</t>
  </si>
  <si>
    <t>ORD-0129</t>
  </si>
  <si>
    <t>ORD-0521</t>
  </si>
  <si>
    <t>ORD-0065</t>
  </si>
  <si>
    <t>ORD-0015</t>
  </si>
  <si>
    <t>#8014</t>
  </si>
  <si>
    <t>ORD-0041</t>
  </si>
  <si>
    <t>ORD-0493</t>
  </si>
  <si>
    <t>ORD-0380</t>
  </si>
  <si>
    <t>ORD-0188</t>
  </si>
  <si>
    <t>ORD-0217</t>
  </si>
  <si>
    <t>ORD-0338</t>
  </si>
  <si>
    <t>ORD-0296</t>
  </si>
  <si>
    <t>ORD-0252</t>
  </si>
  <si>
    <t>ORD-0462</t>
  </si>
  <si>
    <t>ORD-0456</t>
  </si>
  <si>
    <t>ORD-0270</t>
  </si>
  <si>
    <t>ORD-0202</t>
  </si>
  <si>
    <t>ORD-0162</t>
  </si>
  <si>
    <t>ORD-0556</t>
  </si>
  <si>
    <t>ORD-0402</t>
  </si>
  <si>
    <t>ORD-0106</t>
  </si>
  <si>
    <t>ORD-0566</t>
  </si>
  <si>
    <t>ORD-0390</t>
  </si>
  <si>
    <t>ORD-0002</t>
  </si>
  <si>
    <t>ORD-0587</t>
  </si>
  <si>
    <t>ORD-0562</t>
  </si>
  <si>
    <t>ORD-0081</t>
  </si>
  <si>
    <t>ORD-0206</t>
  </si>
  <si>
    <t>ORD-0035</t>
  </si>
  <si>
    <t>ORD-0509</t>
  </si>
  <si>
    <t>ORD-0428</t>
  </si>
  <si>
    <t>ORD-0455</t>
  </si>
  <si>
    <t>ORD-0367</t>
  </si>
  <si>
    <t>ORD-0092</t>
  </si>
  <si>
    <t>ORD-0340</t>
  </si>
  <si>
    <t>ORD-0565</t>
  </si>
  <si>
    <t>ORD-0346</t>
  </si>
  <si>
    <t>ORD-0242</t>
  </si>
  <si>
    <t>ORD-0014</t>
  </si>
  <si>
    <t>ORD-0316</t>
  </si>
  <si>
    <t>ORD-0388</t>
  </si>
  <si>
    <t>ORD-0274</t>
  </si>
  <si>
    <t>ORD-0167</t>
  </si>
  <si>
    <t>ORD-0485</t>
  </si>
  <si>
    <t>ORD-0505</t>
  </si>
  <si>
    <t>ORD-0244</t>
  </si>
  <si>
    <t>ORD-0567</t>
  </si>
  <si>
    <t>ORD-0563</t>
  </si>
  <si>
    <t>ORD-0190</t>
  </si>
  <si>
    <t>ORD-0476</t>
  </si>
  <si>
    <t>ord488</t>
  </si>
  <si>
    <t>ORD-0059</t>
  </si>
  <si>
    <t>ORD-0475</t>
  </si>
  <si>
    <t>ORD-0561</t>
  </si>
  <si>
    <t>ORD-0253</t>
  </si>
  <si>
    <t>ORD-0022</t>
  </si>
  <si>
    <t>ORD-0314</t>
  </si>
  <si>
    <t>ORD-0460</t>
  </si>
  <si>
    <t>ORD-0161</t>
  </si>
  <si>
    <t>ORD-0277</t>
  </si>
  <si>
    <t>ORD-0192</t>
  </si>
  <si>
    <t>ORD-0386</t>
  </si>
  <si>
    <t>ORD-0414</t>
  </si>
  <si>
    <t>ORD-0492</t>
  </si>
  <si>
    <t>ORD-0309</t>
  </si>
  <si>
    <t>ORD-0131</t>
  </si>
  <si>
    <t>ORD-0100</t>
  </si>
  <si>
    <t>ORD-0088</t>
  </si>
  <si>
    <t>ORD-0459</t>
  </si>
  <si>
    <t>ORD-0331</t>
  </si>
  <si>
    <t>ORD-0467</t>
  </si>
  <si>
    <t>ORD-0122</t>
  </si>
  <si>
    <t>ORD-0021</t>
  </si>
  <si>
    <t>ORD-0072</t>
  </si>
  <si>
    <t>ORD-0107</t>
  </si>
  <si>
    <t>ORD-0271</t>
  </si>
  <si>
    <t>ORD-0436</t>
  </si>
  <si>
    <t>ORD-0103</t>
  </si>
  <si>
    <t>Discount</t>
  </si>
  <si>
    <t>Month</t>
  </si>
  <si>
    <t>Row Labels</t>
  </si>
  <si>
    <t>Grand Total</t>
  </si>
  <si>
    <t>Jan</t>
  </si>
  <si>
    <t>Feb</t>
  </si>
  <si>
    <t>Mar</t>
  </si>
  <si>
    <t>Apr</t>
  </si>
  <si>
    <t>May</t>
  </si>
  <si>
    <t>Jun</t>
  </si>
  <si>
    <t>Jul</t>
  </si>
  <si>
    <t>Aug</t>
  </si>
  <si>
    <t>Sep</t>
  </si>
  <si>
    <t>Oct</t>
  </si>
  <si>
    <t>Nov</t>
  </si>
  <si>
    <t>Dec</t>
  </si>
  <si>
    <t>Total Revenue</t>
  </si>
  <si>
    <t>Total Quantity</t>
  </si>
  <si>
    <t>Total Orders</t>
  </si>
  <si>
    <t>Average order value</t>
  </si>
  <si>
    <t>Count of Order ID</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</si>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</sst>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_);_(&quot;$&quot;* \(#,##0\);_(&quot;$&quot;* &quot;-&quot;??_);_(@_)"/>
  </numFmts>
  <fonts count="5" x14ac:knownFonts="1">
    <font>
      <sz val="11"/>
      <color theme="1"/>
      <name val="Calibri"/>
      <family val="2"/>
      <scheme val="minor"/>
    </font>
    <font>
      <b/>
      <sz val="11"/>
      <color rgb="FFFFFFFF"/>
      <name val="Arial"/>
    </font>
    <font>
      <sz val="10"/>
      <name val="Arial"/>
    </font>
    <font>
      <sz val="11"/>
      <color theme="1"/>
      <name val="Calibri"/>
      <family val="2"/>
      <scheme val="minor"/>
    </font>
    <font>
      <b/>
      <sz val="11"/>
      <color rgb="FFFFFFFF"/>
      <name val="Arial"/>
      <family val="2"/>
    </font>
  </fonts>
  <fills count="5">
    <fill>
      <patternFill patternType="none"/>
    </fill>
    <fill>
      <patternFill patternType="gray125"/>
    </fill>
    <fill>
      <patternFill patternType="solid">
        <fgColor rgb="FFC00000"/>
      </patternFill>
    </fill>
    <fill>
      <patternFill patternType="solid">
        <fgColor rgb="FFFFF2CC"/>
      </patternFill>
    </fill>
    <fill>
      <patternFill patternType="solid">
        <fgColor rgb="FFFFFFFF"/>
      </patternFill>
    </fill>
  </fills>
  <borders count="19">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40">
    <xf numFmtId="0" fontId="0" fillId="0" borderId="0" xfId="0"/>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14" fontId="2" fillId="3" borderId="1" xfId="0" applyNumberFormat="1" applyFont="1" applyFill="1" applyBorder="1" applyAlignment="1">
      <alignment horizontal="left" vertical="center"/>
    </xf>
    <xf numFmtId="14" fontId="2" fillId="4" borderId="1" xfId="0" applyNumberFormat="1" applyFont="1" applyFill="1" applyBorder="1" applyAlignment="1">
      <alignment horizontal="left" vertical="center"/>
    </xf>
    <xf numFmtId="14" fontId="0" fillId="0" borderId="0" xfId="0" applyNumberFormat="1"/>
    <xf numFmtId="9" fontId="2" fillId="3" borderId="1" xfId="1" applyFont="1" applyFill="1" applyBorder="1" applyAlignment="1">
      <alignment horizontal="left" vertical="center"/>
    </xf>
    <xf numFmtId="1" fontId="2" fillId="3" borderId="1" xfId="0" applyNumberFormat="1" applyFont="1" applyFill="1" applyBorder="1" applyAlignment="1">
      <alignment horizontal="left" vertical="center"/>
    </xf>
    <xf numFmtId="1" fontId="2" fillId="4" borderId="1" xfId="0" applyNumberFormat="1" applyFont="1" applyFill="1" applyBorder="1" applyAlignment="1">
      <alignment horizontal="left" vertical="center"/>
    </xf>
    <xf numFmtId="1" fontId="0" fillId="0" borderId="0" xfId="0" applyNumberFormat="1"/>
    <xf numFmtId="0" fontId="2" fillId="3" borderId="2" xfId="0" applyFont="1" applyFill="1" applyBorder="1" applyAlignment="1">
      <alignment horizontal="left" vertical="center"/>
    </xf>
    <xf numFmtId="0" fontId="2" fillId="4" borderId="2" xfId="0" applyFont="1" applyFill="1" applyBorder="1" applyAlignment="1">
      <alignment horizontal="left" vertical="center"/>
    </xf>
    <xf numFmtId="0" fontId="2" fillId="3" borderId="3" xfId="0" applyFont="1" applyFill="1" applyBorder="1" applyAlignment="1">
      <alignment horizontal="left" vertical="center"/>
    </xf>
    <xf numFmtId="0" fontId="2" fillId="4" borderId="3" xfId="0" applyFont="1" applyFill="1" applyBorder="1" applyAlignment="1">
      <alignment horizontal="left"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4" fillId="2" borderId="5" xfId="0" applyFont="1" applyFill="1" applyBorder="1" applyAlignment="1">
      <alignment horizontal="center" vertical="center"/>
    </xf>
    <xf numFmtId="1" fontId="1" fillId="2" borderId="5" xfId="0" applyNumberFormat="1" applyFont="1" applyFill="1" applyBorder="1" applyAlignment="1">
      <alignment horizontal="center" vertical="center"/>
    </xf>
    <xf numFmtId="14" fontId="1" fillId="2" borderId="5" xfId="0" applyNumberFormat="1" applyFont="1" applyFill="1" applyBorder="1" applyAlignment="1">
      <alignment horizontal="center" vertical="center"/>
    </xf>
    <xf numFmtId="0" fontId="1" fillId="2" borderId="6" xfId="0" applyFont="1" applyFill="1" applyBorder="1" applyAlignment="1">
      <alignment horizontal="center" vertical="center"/>
    </xf>
    <xf numFmtId="0" fontId="2" fillId="4" borderId="7" xfId="0" applyFont="1" applyFill="1" applyBorder="1" applyAlignment="1">
      <alignment horizontal="left" vertical="center"/>
    </xf>
    <xf numFmtId="0" fontId="2" fillId="3" borderId="8" xfId="0" applyFont="1" applyFill="1" applyBorder="1" applyAlignment="1">
      <alignment horizontal="left" vertical="center"/>
    </xf>
    <xf numFmtId="0" fontId="2" fillId="4" borderId="8" xfId="0" applyFont="1" applyFill="1" applyBorder="1" applyAlignment="1">
      <alignment horizontal="left" vertical="center"/>
    </xf>
    <xf numFmtId="9" fontId="2" fillId="3" borderId="8" xfId="1" applyFont="1" applyFill="1" applyBorder="1" applyAlignment="1">
      <alignment horizontal="left" vertical="center"/>
    </xf>
    <xf numFmtId="1" fontId="2" fillId="4" borderId="8" xfId="0" applyNumberFormat="1" applyFont="1" applyFill="1" applyBorder="1" applyAlignment="1">
      <alignment horizontal="left" vertical="center"/>
    </xf>
    <xf numFmtId="14" fontId="2" fillId="4" borderId="8" xfId="0" applyNumberFormat="1" applyFont="1" applyFill="1" applyBorder="1" applyAlignment="1">
      <alignment horizontal="left" vertical="center"/>
    </xf>
    <xf numFmtId="14" fontId="2" fillId="3" borderId="8" xfId="0" applyNumberFormat="1" applyFont="1" applyFill="1" applyBorder="1" applyAlignment="1">
      <alignment horizontal="left" vertical="center"/>
    </xf>
    <xf numFmtId="0" fontId="2" fillId="4" borderId="9" xfId="0" applyFont="1" applyFill="1" applyBorder="1" applyAlignment="1">
      <alignment horizontal="left" vertical="center"/>
    </xf>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4" fontId="0" fillId="0" borderId="0" xfId="0" applyNumberFormat="1"/>
  </cellXfs>
  <cellStyles count="2">
    <cellStyle name="Normal" xfId="0" builtinId="0"/>
    <cellStyle name="Percent" xfId="1" builtinId="5"/>
  </cellStyles>
  <dxfs count="30">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19" formatCode="m/d/yyyy"/>
      <fill>
        <patternFill patternType="solid">
          <fgColor indexed="64"/>
          <bgColor rgb="FFFFF2CC"/>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19" formatCode="m/d/yyyy"/>
      <fill>
        <patternFill patternType="solid">
          <fgColor indexed="64"/>
          <bgColor rgb="FFFFFFFF"/>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1" formatCode="0"/>
      <fill>
        <patternFill patternType="solid">
          <fgColor indexed="64"/>
          <bgColor rgb="FFFFFFFF"/>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2CC"/>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2CC"/>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2CC"/>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2CC"/>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2CC"/>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2CC"/>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left"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solid">
          <fgColor indexed="64"/>
          <bgColor rgb="FFC00000"/>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s>
  <tableStyles count="0" defaultTableStyle="TableStyleMedium9" defaultPivotStyle="PivotStyleLight16"/>
  <colors>
    <mruColors>
      <color rgb="FF385F7C"/>
      <color rgb="FFCCDCEB"/>
      <color rgb="FFE1EAF1"/>
      <color rgb="FFF0F4F6"/>
      <color rgb="FFEA1E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[ShopTrack_Messy_Dataset clean.xlsx]Pivot Tables!Product revenue</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558136482939629"/>
          <c:y val="2.5428331875182269E-2"/>
          <c:w val="0.77775196850393702"/>
          <c:h val="0.70578630796150477"/>
        </c:manualLayout>
      </c:layout>
      <c:bar3DChart>
        <c:barDir val="col"/>
        <c:grouping val="clustered"/>
        <c:varyColors val="0"/>
        <c:ser>
          <c:idx val="0"/>
          <c:order val="0"/>
          <c:tx>
            <c:strRef>
              <c:f>'Pivot Tables'!$C$11</c:f>
              <c:strCache>
                <c:ptCount val="1"/>
                <c:pt idx="0">
                  <c:v>Total</c:v>
                </c:pt>
              </c:strCache>
            </c:strRef>
          </c:tx>
          <c:spPr>
            <a:solidFill>
              <a:schemeClr val="accent1"/>
            </a:solidFill>
            <a:ln>
              <a:noFill/>
            </a:ln>
            <a:effectLst/>
            <a:sp3d/>
          </c:spPr>
          <c:invertIfNegative val="0"/>
          <c:cat>
            <c:strRef>
              <c:f>'Pivot Tables'!$B$12:$B$22</c:f>
              <c:strCache>
                <c:ptCount val="10"/>
                <c:pt idx="0">
                  <c:v>Camera</c:v>
                </c:pt>
                <c:pt idx="1">
                  <c:v>Headphones</c:v>
                </c:pt>
                <c:pt idx="2">
                  <c:v>Keyboard</c:v>
                </c:pt>
                <c:pt idx="3">
                  <c:v>Laptop</c:v>
                </c:pt>
                <c:pt idx="4">
                  <c:v>Monitor</c:v>
                </c:pt>
                <c:pt idx="5">
                  <c:v>Mouse</c:v>
                </c:pt>
                <c:pt idx="6">
                  <c:v>Phone</c:v>
                </c:pt>
                <c:pt idx="7">
                  <c:v>Printer</c:v>
                </c:pt>
                <c:pt idx="8">
                  <c:v>Speaker</c:v>
                </c:pt>
                <c:pt idx="9">
                  <c:v>Tablet</c:v>
                </c:pt>
              </c:strCache>
            </c:strRef>
          </c:cat>
          <c:val>
            <c:numRef>
              <c:f>'Pivot Tables'!$C$12:$C$22</c:f>
              <c:numCache>
                <c:formatCode>_("$"* #,##0_);_("$"* \(#,##0\);_("$"* "-"??_);_(@_)</c:formatCode>
                <c:ptCount val="10"/>
                <c:pt idx="0">
                  <c:v>181270924.15000001</c:v>
                </c:pt>
                <c:pt idx="1">
                  <c:v>22617473.800000008</c:v>
                </c:pt>
                <c:pt idx="2">
                  <c:v>25929507.399999999</c:v>
                </c:pt>
                <c:pt idx="3">
                  <c:v>220380124.29999998</c:v>
                </c:pt>
                <c:pt idx="4">
                  <c:v>172561789.89999995</c:v>
                </c:pt>
                <c:pt idx="5">
                  <c:v>22122990.699999992</c:v>
                </c:pt>
                <c:pt idx="6">
                  <c:v>28269976.75</c:v>
                </c:pt>
                <c:pt idx="7">
                  <c:v>25899163.950000007</c:v>
                </c:pt>
                <c:pt idx="8">
                  <c:v>30756496.049999993</c:v>
                </c:pt>
                <c:pt idx="9">
                  <c:v>21051788.000000004</c:v>
                </c:pt>
              </c:numCache>
            </c:numRef>
          </c:val>
          <c:extLst>
            <c:ext xmlns:c16="http://schemas.microsoft.com/office/drawing/2014/chart" uri="{C3380CC4-5D6E-409C-BE32-E72D297353CC}">
              <c16:uniqueId val="{00000000-80DD-4FB1-88F5-1CDB062AC4DE}"/>
            </c:ext>
          </c:extLst>
        </c:ser>
        <c:dLbls>
          <c:showLegendKey val="0"/>
          <c:showVal val="0"/>
          <c:showCatName val="0"/>
          <c:showSerName val="0"/>
          <c:showPercent val="0"/>
          <c:showBubbleSize val="0"/>
        </c:dLbls>
        <c:gapWidth val="150"/>
        <c:shape val="box"/>
        <c:axId val="2062101935"/>
        <c:axId val="2052604271"/>
        <c:axId val="0"/>
      </c:bar3DChart>
      <c:catAx>
        <c:axId val="20621019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604271"/>
        <c:crosses val="autoZero"/>
        <c:auto val="1"/>
        <c:lblAlgn val="ctr"/>
        <c:lblOffset val="100"/>
        <c:noMultiLvlLbl val="0"/>
      </c:catAx>
      <c:valAx>
        <c:axId val="2052604271"/>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10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[ShopTrack_Messy_Dataset clean.xlsx]Pivot Tables!Region revenue</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08114610673666"/>
          <c:y val="7.407407407407407E-2"/>
          <c:w val="0.77925218722659673"/>
          <c:h val="0.8416746864975212"/>
        </c:manualLayout>
      </c:layout>
      <c:bar3DChart>
        <c:barDir val="bar"/>
        <c:grouping val="clustered"/>
        <c:varyColors val="0"/>
        <c:ser>
          <c:idx val="0"/>
          <c:order val="0"/>
          <c:tx>
            <c:strRef>
              <c:f>'Pivot Tables'!$G$11</c:f>
              <c:strCache>
                <c:ptCount val="1"/>
                <c:pt idx="0">
                  <c:v>Total</c:v>
                </c:pt>
              </c:strCache>
            </c:strRef>
          </c:tx>
          <c:spPr>
            <a:solidFill>
              <a:schemeClr val="accent1"/>
            </a:solidFill>
            <a:ln>
              <a:noFill/>
            </a:ln>
            <a:effectLst/>
            <a:sp3d/>
          </c:spPr>
          <c:invertIfNegative val="0"/>
          <c:cat>
            <c:strRef>
              <c:f>'Pivot Tables'!$F$12:$F$17</c:f>
              <c:strCache>
                <c:ptCount val="5"/>
                <c:pt idx="0">
                  <c:v>Central</c:v>
                </c:pt>
                <c:pt idx="1">
                  <c:v>East</c:v>
                </c:pt>
                <c:pt idx="2">
                  <c:v>North</c:v>
                </c:pt>
                <c:pt idx="3">
                  <c:v>South</c:v>
                </c:pt>
                <c:pt idx="4">
                  <c:v>West</c:v>
                </c:pt>
              </c:strCache>
            </c:strRef>
          </c:cat>
          <c:val>
            <c:numRef>
              <c:f>'Pivot Tables'!$G$12:$G$17</c:f>
              <c:numCache>
                <c:formatCode>_("$"* #,##0_);_("$"* \(#,##0\);_("$"* "-"??_);_(@_)</c:formatCode>
                <c:ptCount val="5"/>
                <c:pt idx="0">
                  <c:v>140136680.34999999</c:v>
                </c:pt>
                <c:pt idx="1">
                  <c:v>130128249.34999999</c:v>
                </c:pt>
                <c:pt idx="2">
                  <c:v>171957211.89999995</c:v>
                </c:pt>
                <c:pt idx="3">
                  <c:v>134679615.35000005</c:v>
                </c:pt>
                <c:pt idx="4">
                  <c:v>173958478.04999998</c:v>
                </c:pt>
              </c:numCache>
            </c:numRef>
          </c:val>
          <c:extLst>
            <c:ext xmlns:c16="http://schemas.microsoft.com/office/drawing/2014/chart" uri="{C3380CC4-5D6E-409C-BE32-E72D297353CC}">
              <c16:uniqueId val="{00000000-7759-4A44-B393-E7343DEF6AF1}"/>
            </c:ext>
          </c:extLst>
        </c:ser>
        <c:dLbls>
          <c:showLegendKey val="0"/>
          <c:showVal val="0"/>
          <c:showCatName val="0"/>
          <c:showSerName val="0"/>
          <c:showPercent val="0"/>
          <c:showBubbleSize val="0"/>
        </c:dLbls>
        <c:gapWidth val="150"/>
        <c:shape val="box"/>
        <c:axId val="80073823"/>
        <c:axId val="2052603311"/>
        <c:axId val="0"/>
      </c:bar3DChart>
      <c:catAx>
        <c:axId val="800738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603311"/>
        <c:crosses val="autoZero"/>
        <c:auto val="1"/>
        <c:lblAlgn val="ctr"/>
        <c:lblOffset val="100"/>
        <c:noMultiLvlLbl val="0"/>
      </c:catAx>
      <c:valAx>
        <c:axId val="2052603311"/>
        <c:scaling>
          <c:orientation val="minMax"/>
        </c:scaling>
        <c:delete val="0"/>
        <c:axPos val="b"/>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7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[ShopTrack_Messy_Dataset clean.xlsx]Pivot Tables!Monthly trend</c:name>
    <c:fmtId val="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24803149606302"/>
          <c:y val="7.407407407407407E-2"/>
          <c:w val="0.79041863517060362"/>
          <c:h val="0.8416746864975212"/>
        </c:manualLayout>
      </c:layout>
      <c:lineChart>
        <c:grouping val="stacked"/>
        <c:varyColors val="0"/>
        <c:ser>
          <c:idx val="0"/>
          <c:order val="0"/>
          <c:tx>
            <c:strRef>
              <c:f>'Pivot Tables'!$O$12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Tables'!$N$13:$N$25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Tables'!$O$13:$O$25</c:f>
              <c:numCache>
                <c:formatCode>_("$"* #,##0_);_("$"* \(#,##0\);_("$"* "-"??_);_(@_)</c:formatCode>
                <c:ptCount val="12"/>
                <c:pt idx="0">
                  <c:v>60272325.649999991</c:v>
                </c:pt>
                <c:pt idx="1">
                  <c:v>47038855.199999988</c:v>
                </c:pt>
                <c:pt idx="2">
                  <c:v>46820232.699999996</c:v>
                </c:pt>
                <c:pt idx="3">
                  <c:v>78567310.449999988</c:v>
                </c:pt>
                <c:pt idx="4">
                  <c:v>54679914.149999999</c:v>
                </c:pt>
                <c:pt idx="5">
                  <c:v>62955549.600000001</c:v>
                </c:pt>
                <c:pt idx="6">
                  <c:v>83683487.200000003</c:v>
                </c:pt>
                <c:pt idx="7">
                  <c:v>68015405.799999997</c:v>
                </c:pt>
                <c:pt idx="8">
                  <c:v>65250886.54999999</c:v>
                </c:pt>
                <c:pt idx="9">
                  <c:v>58017553.100000009</c:v>
                </c:pt>
                <c:pt idx="10">
                  <c:v>82935619.549999997</c:v>
                </c:pt>
                <c:pt idx="11">
                  <c:v>42623095.050000004</c:v>
                </c:pt>
              </c:numCache>
            </c:numRef>
          </c:val>
          <c:smooth val="0"/>
          <c:extLst>
            <c:ext xmlns:c16="http://schemas.microsoft.com/office/drawing/2014/chart" uri="{C3380CC4-5D6E-409C-BE32-E72D297353CC}">
              <c16:uniqueId val="{00000000-4519-405D-B9CD-7923D070D371}"/>
            </c:ext>
          </c:extLst>
        </c:ser>
        <c:dLbls>
          <c:showLegendKey val="0"/>
          <c:showVal val="0"/>
          <c:showCatName val="0"/>
          <c:showSerName val="0"/>
          <c:showPercent val="0"/>
          <c:showBubbleSize val="0"/>
        </c:dLbls>
        <c:marker val="1"/>
        <c:smooth val="0"/>
        <c:axId val="2062101007"/>
        <c:axId val="1903251055"/>
      </c:lineChart>
      <c:catAx>
        <c:axId val="206210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251055"/>
        <c:crosses val="autoZero"/>
        <c:auto val="1"/>
        <c:lblAlgn val="ctr"/>
        <c:lblOffset val="100"/>
        <c:noMultiLvlLbl val="0"/>
      </c:catAx>
      <c:valAx>
        <c:axId val="190325105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1010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[ShopTrack_Messy_Dataset clean.xlsx]Pivot Tables!Customer revenue</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867891513560804"/>
          <c:y val="7.407407407407407E-2"/>
          <c:w val="0.70743219597550311"/>
          <c:h val="0.8416746864975212"/>
        </c:manualLayout>
      </c:layout>
      <c:bar3DChart>
        <c:barDir val="bar"/>
        <c:grouping val="clustered"/>
        <c:varyColors val="0"/>
        <c:ser>
          <c:idx val="0"/>
          <c:order val="0"/>
          <c:tx>
            <c:strRef>
              <c:f>'Pivot Tables'!$K$12</c:f>
              <c:strCache>
                <c:ptCount val="1"/>
                <c:pt idx="0">
                  <c:v>Total</c:v>
                </c:pt>
              </c:strCache>
            </c:strRef>
          </c:tx>
          <c:spPr>
            <a:solidFill>
              <a:schemeClr val="accent1"/>
            </a:solidFill>
            <a:ln>
              <a:noFill/>
            </a:ln>
            <a:effectLst/>
            <a:sp3d/>
          </c:spPr>
          <c:invertIfNegative val="0"/>
          <c:cat>
            <c:strRef>
              <c:f>'Pivot Tables'!$J$13:$J$23</c:f>
              <c:strCache>
                <c:ptCount val="10"/>
                <c:pt idx="0">
                  <c:v>Chidi Eze</c:v>
                </c:pt>
                <c:pt idx="1">
                  <c:v>Wale Adeniji</c:v>
                </c:pt>
                <c:pt idx="2">
                  <c:v>Musa Aliyu</c:v>
                </c:pt>
                <c:pt idx="3">
                  <c:v>Unknown</c:v>
                </c:pt>
                <c:pt idx="4">
                  <c:v>Tunde Afolabi</c:v>
                </c:pt>
                <c:pt idx="5">
                  <c:v>Emeka Nwosu</c:v>
                </c:pt>
                <c:pt idx="6">
                  <c:v>Yemi Fashola</c:v>
                </c:pt>
                <c:pt idx="7">
                  <c:v>Ngozi Adeyemi</c:v>
                </c:pt>
                <c:pt idx="8">
                  <c:v>Aisha Garba</c:v>
                </c:pt>
                <c:pt idx="9">
                  <c:v>Seun Kuti</c:v>
                </c:pt>
              </c:strCache>
            </c:strRef>
          </c:cat>
          <c:val>
            <c:numRef>
              <c:f>'Pivot Tables'!$K$13:$K$23</c:f>
              <c:numCache>
                <c:formatCode>_("$"* #,##0_);_("$"* \(#,##0\);_("$"* "-"??_);_(@_)</c:formatCode>
                <c:ptCount val="10"/>
                <c:pt idx="0">
                  <c:v>39098930.849999994</c:v>
                </c:pt>
                <c:pt idx="1">
                  <c:v>40004045.550000004</c:v>
                </c:pt>
                <c:pt idx="2">
                  <c:v>41306920.700000003</c:v>
                </c:pt>
                <c:pt idx="3">
                  <c:v>42027557.450000003</c:v>
                </c:pt>
                <c:pt idx="4">
                  <c:v>45372679.350000001</c:v>
                </c:pt>
                <c:pt idx="5">
                  <c:v>46692428.349999987</c:v>
                </c:pt>
                <c:pt idx="6">
                  <c:v>49117198.399999999</c:v>
                </c:pt>
                <c:pt idx="7">
                  <c:v>49301993.799999997</c:v>
                </c:pt>
                <c:pt idx="8">
                  <c:v>51710267.500000007</c:v>
                </c:pt>
                <c:pt idx="9">
                  <c:v>52321281.04999999</c:v>
                </c:pt>
              </c:numCache>
            </c:numRef>
          </c:val>
          <c:extLst>
            <c:ext xmlns:c16="http://schemas.microsoft.com/office/drawing/2014/chart" uri="{C3380CC4-5D6E-409C-BE32-E72D297353CC}">
              <c16:uniqueId val="{00000000-C692-49BC-85BB-EF1D433AC8CD}"/>
            </c:ext>
          </c:extLst>
        </c:ser>
        <c:dLbls>
          <c:showLegendKey val="0"/>
          <c:showVal val="0"/>
          <c:showCatName val="0"/>
          <c:showSerName val="0"/>
          <c:showPercent val="0"/>
          <c:showBubbleSize val="0"/>
        </c:dLbls>
        <c:gapWidth val="150"/>
        <c:shape val="box"/>
        <c:axId val="2002694767"/>
        <c:axId val="2052637391"/>
        <c:axId val="0"/>
      </c:bar3DChart>
      <c:catAx>
        <c:axId val="2002694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637391"/>
        <c:crosses val="autoZero"/>
        <c:auto val="1"/>
        <c:lblAlgn val="ctr"/>
        <c:lblOffset val="100"/>
        <c:noMultiLvlLbl val="0"/>
      </c:catAx>
      <c:valAx>
        <c:axId val="2052637391"/>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69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[ShopTrack_Messy_Dataset clean.xlsx]Pivot Tables!Order status</c:name>
    <c:fmtId val="2"/>
  </c:pivotSource>
  <c:chart>
    <c:autoTitleDeleted val="1"/>
    <c:pivotFmts>
      <c:pivotFmt>
        <c:idx val="0"/>
        <c:spPr>
          <a:solidFill>
            <a:srgbClr val="CCDCE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solidFill>
              <a:schemeClr val="lt1"/>
            </a:solidFill>
          </a:ln>
          <a:effectLst/>
        </c:spPr>
      </c:pivotFmt>
      <c:pivotFmt>
        <c:idx val="2"/>
        <c:spPr>
          <a:solidFill>
            <a:srgbClr val="0070C0"/>
          </a:solidFill>
          <a:ln w="19050">
            <a:solidFill>
              <a:schemeClr val="lt1"/>
            </a:solidFill>
          </a:ln>
          <a:effectLst/>
        </c:spPr>
      </c:pivotFmt>
      <c:pivotFmt>
        <c:idx val="3"/>
        <c:spPr>
          <a:solidFill>
            <a:schemeClr val="accent1">
              <a:lumMod val="50000"/>
            </a:schemeClr>
          </a:solidFill>
          <a:ln w="19050">
            <a:solidFill>
              <a:schemeClr val="lt1"/>
            </a:solidFill>
          </a:ln>
          <a:effectLst/>
        </c:spPr>
      </c:pivotFmt>
      <c:pivotFmt>
        <c:idx val="4"/>
        <c:spPr>
          <a:solidFill>
            <a:srgbClr val="CCDCE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solidFill>
              <a:schemeClr val="lt1"/>
            </a:solidFill>
          </a:ln>
          <a:effectLst/>
        </c:spPr>
      </c:pivotFmt>
      <c:pivotFmt>
        <c:idx val="6"/>
        <c:spPr>
          <a:solidFill>
            <a:srgbClr val="385F7C"/>
          </a:solidFill>
          <a:ln w="19050">
            <a:solidFill>
              <a:schemeClr val="lt1"/>
            </a:solidFill>
          </a:ln>
          <a:effectLst/>
        </c:spPr>
      </c:pivotFmt>
      <c:pivotFmt>
        <c:idx val="7"/>
        <c:spPr>
          <a:solidFill>
            <a:srgbClr val="CCDCEB"/>
          </a:solidFill>
          <a:ln w="19050">
            <a:solidFill>
              <a:schemeClr val="lt1"/>
            </a:solidFill>
          </a:ln>
          <a:effectLst/>
        </c:spPr>
      </c:pivotFmt>
      <c:pivotFmt>
        <c:idx val="8"/>
        <c:spPr>
          <a:solidFill>
            <a:srgbClr val="0070C0"/>
          </a:solidFill>
          <a:ln w="19050">
            <a:solidFill>
              <a:schemeClr val="lt1"/>
            </a:solidFill>
          </a:ln>
          <a:effectLst/>
        </c:spPr>
      </c:pivotFmt>
      <c:pivotFmt>
        <c:idx val="9"/>
        <c:spPr>
          <a:solidFill>
            <a:srgbClr val="CCDCE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w="19050">
            <a:solidFill>
              <a:schemeClr val="lt1"/>
            </a:solidFill>
          </a:ln>
          <a:effectLst/>
        </c:spPr>
      </c:pivotFmt>
      <c:pivotFmt>
        <c:idx val="11"/>
        <c:spPr>
          <a:solidFill>
            <a:srgbClr val="385F7C"/>
          </a:solidFill>
          <a:ln w="19050">
            <a:solidFill>
              <a:schemeClr val="lt1"/>
            </a:solidFill>
          </a:ln>
          <a:effectLst/>
        </c:spPr>
      </c:pivotFmt>
      <c:pivotFmt>
        <c:idx val="12"/>
        <c:spPr>
          <a:solidFill>
            <a:srgbClr val="CCDCEB"/>
          </a:solidFill>
          <a:ln w="19050">
            <a:solidFill>
              <a:schemeClr val="lt1"/>
            </a:solidFill>
          </a:ln>
          <a:effectLst/>
        </c:spPr>
      </c:pivotFmt>
      <c:pivotFmt>
        <c:idx val="13"/>
        <c:spPr>
          <a:solidFill>
            <a:srgbClr val="0070C0"/>
          </a:solidFill>
          <a:ln w="19050">
            <a:solidFill>
              <a:schemeClr val="lt1"/>
            </a:solidFill>
          </a:ln>
          <a:effectLst/>
        </c:spPr>
      </c:pivotFmt>
    </c:pivotFmts>
    <c:plotArea>
      <c:layout/>
      <c:pieChart>
        <c:varyColors val="1"/>
        <c:ser>
          <c:idx val="0"/>
          <c:order val="0"/>
          <c:tx>
            <c:strRef>
              <c:f>'Pivot Tables'!$U$12</c:f>
              <c:strCache>
                <c:ptCount val="1"/>
                <c:pt idx="0">
                  <c:v>Total</c:v>
                </c:pt>
              </c:strCache>
            </c:strRef>
          </c:tx>
          <c:spPr>
            <a:solidFill>
              <a:srgbClr val="CCDCEB"/>
            </a:solidFill>
          </c:spPr>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B48C-4A0E-A593-9B7F128C5C31}"/>
              </c:ext>
            </c:extLst>
          </c:dPt>
          <c:dPt>
            <c:idx val="1"/>
            <c:bubble3D val="0"/>
            <c:spPr>
              <a:solidFill>
                <a:srgbClr val="385F7C"/>
              </a:solidFill>
              <a:ln w="19050">
                <a:solidFill>
                  <a:schemeClr val="lt1"/>
                </a:solidFill>
              </a:ln>
              <a:effectLst/>
            </c:spPr>
            <c:extLst>
              <c:ext xmlns:c16="http://schemas.microsoft.com/office/drawing/2014/chart" uri="{C3380CC4-5D6E-409C-BE32-E72D297353CC}">
                <c16:uniqueId val="{00000003-B48C-4A0E-A593-9B7F128C5C31}"/>
              </c:ext>
            </c:extLst>
          </c:dPt>
          <c:dPt>
            <c:idx val="2"/>
            <c:bubble3D val="0"/>
            <c:spPr>
              <a:solidFill>
                <a:srgbClr val="CCDCEB"/>
              </a:solidFill>
              <a:ln w="19050">
                <a:solidFill>
                  <a:schemeClr val="lt1"/>
                </a:solidFill>
              </a:ln>
              <a:effectLst/>
            </c:spPr>
            <c:extLst>
              <c:ext xmlns:c16="http://schemas.microsoft.com/office/drawing/2014/chart" uri="{C3380CC4-5D6E-409C-BE32-E72D297353CC}">
                <c16:uniqueId val="{00000005-B48C-4A0E-A593-9B7F128C5C31}"/>
              </c:ext>
            </c:extLst>
          </c:dPt>
          <c:dPt>
            <c:idx val="3"/>
            <c:bubble3D val="0"/>
            <c:spPr>
              <a:solidFill>
                <a:srgbClr val="0070C0"/>
              </a:solidFill>
              <a:ln w="19050">
                <a:solidFill>
                  <a:schemeClr val="lt1"/>
                </a:solidFill>
              </a:ln>
              <a:effectLst/>
            </c:spPr>
            <c:extLst>
              <c:ext xmlns:c16="http://schemas.microsoft.com/office/drawing/2014/chart" uri="{C3380CC4-5D6E-409C-BE32-E72D297353CC}">
                <c16:uniqueId val="{00000007-B48C-4A0E-A593-9B7F128C5C31}"/>
              </c:ext>
            </c:extLst>
          </c:dPt>
          <c:cat>
            <c:strRef>
              <c:f>'Pivot Tables'!$T$13:$T$17</c:f>
              <c:strCache>
                <c:ptCount val="4"/>
                <c:pt idx="0">
                  <c:v>Cancelled</c:v>
                </c:pt>
                <c:pt idx="1">
                  <c:v>Completed</c:v>
                </c:pt>
                <c:pt idx="2">
                  <c:v>Pending</c:v>
                </c:pt>
                <c:pt idx="3">
                  <c:v>Refunded</c:v>
                </c:pt>
              </c:strCache>
            </c:strRef>
          </c:cat>
          <c:val>
            <c:numRef>
              <c:f>'Pivot Tables'!$U$13:$U$17</c:f>
              <c:numCache>
                <c:formatCode>General</c:formatCode>
                <c:ptCount val="4"/>
                <c:pt idx="0">
                  <c:v>136</c:v>
                </c:pt>
                <c:pt idx="1">
                  <c:v>146</c:v>
                </c:pt>
                <c:pt idx="2">
                  <c:v>161</c:v>
                </c:pt>
                <c:pt idx="3">
                  <c:v>169</c:v>
                </c:pt>
              </c:numCache>
            </c:numRef>
          </c:val>
          <c:extLst>
            <c:ext xmlns:c16="http://schemas.microsoft.com/office/drawing/2014/chart" uri="{C3380CC4-5D6E-409C-BE32-E72D297353CC}">
              <c16:uniqueId val="{00000008-B48C-4A0E-A593-9B7F128C5C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582083</xdr:colOff>
      <xdr:row>3</xdr:row>
      <xdr:rowOff>104178</xdr:rowOff>
    </xdr:from>
    <xdr:to>
      <xdr:col>31</xdr:col>
      <xdr:colOff>370417</xdr:colOff>
      <xdr:row>41</xdr:row>
      <xdr:rowOff>112058</xdr:rowOff>
    </xdr:to>
    <xdr:sp macro="" textlink="">
      <xdr:nvSpPr>
        <xdr:cNvPr id="2" name="Rectangle 1">
          <a:extLst>
            <a:ext uri="{FF2B5EF4-FFF2-40B4-BE49-F238E27FC236}">
              <a16:creationId xmlns:a16="http://schemas.microsoft.com/office/drawing/2014/main" id="{452EBBEF-D9A1-26B7-DACA-4005FCDC4EC0}"/>
            </a:ext>
          </a:extLst>
        </xdr:cNvPr>
        <xdr:cNvSpPr/>
      </xdr:nvSpPr>
      <xdr:spPr>
        <a:xfrm>
          <a:off x="4286250" y="686261"/>
          <a:ext cx="15222361" cy="7380936"/>
        </a:xfrm>
        <a:prstGeom prst="rect">
          <a:avLst/>
        </a:prstGeom>
        <a:solidFill>
          <a:srgbClr val="CCDCE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211666</xdr:colOff>
      <xdr:row>4</xdr:row>
      <xdr:rowOff>141112</xdr:rowOff>
    </xdr:from>
    <xdr:to>
      <xdr:col>31</xdr:col>
      <xdr:colOff>88195</xdr:colOff>
      <xdr:row>40</xdr:row>
      <xdr:rowOff>105834</xdr:rowOff>
    </xdr:to>
    <xdr:sp macro="" textlink="">
      <xdr:nvSpPr>
        <xdr:cNvPr id="3" name="Rectangle 2">
          <a:extLst>
            <a:ext uri="{FF2B5EF4-FFF2-40B4-BE49-F238E27FC236}">
              <a16:creationId xmlns:a16="http://schemas.microsoft.com/office/drawing/2014/main" id="{61843930-914E-69A3-A3D4-21DDDA5A47E2}"/>
            </a:ext>
          </a:extLst>
        </xdr:cNvPr>
        <xdr:cNvSpPr/>
      </xdr:nvSpPr>
      <xdr:spPr>
        <a:xfrm>
          <a:off x="4533194" y="917223"/>
          <a:ext cx="14693195" cy="6949722"/>
        </a:xfrm>
        <a:prstGeom prst="rect">
          <a:avLst/>
        </a:prstGeom>
        <a:solidFill>
          <a:srgbClr val="E1EA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299861</xdr:colOff>
      <xdr:row>9</xdr:row>
      <xdr:rowOff>35278</xdr:rowOff>
    </xdr:from>
    <xdr:to>
      <xdr:col>15</xdr:col>
      <xdr:colOff>251829</xdr:colOff>
      <xdr:row>23</xdr:row>
      <xdr:rowOff>52917</xdr:rowOff>
    </xdr:to>
    <xdr:sp macro="" textlink="">
      <xdr:nvSpPr>
        <xdr:cNvPr id="6" name="Rectangle: Rounded Corners 5">
          <a:extLst>
            <a:ext uri="{FF2B5EF4-FFF2-40B4-BE49-F238E27FC236}">
              <a16:creationId xmlns:a16="http://schemas.microsoft.com/office/drawing/2014/main" id="{C963512A-B9B2-B4D8-E9F1-ADB738435D0C}"/>
            </a:ext>
          </a:extLst>
        </xdr:cNvPr>
        <xdr:cNvSpPr/>
      </xdr:nvSpPr>
      <xdr:spPr>
        <a:xfrm>
          <a:off x="4621389" y="1781528"/>
          <a:ext cx="4890857" cy="2734028"/>
        </a:xfrm>
        <a:custGeom>
          <a:avLst/>
          <a:gdLst>
            <a:gd name="csX0" fmla="*/ 0 w 4868333"/>
            <a:gd name="csY0" fmla="*/ 314567 h 1887362"/>
            <a:gd name="csX1" fmla="*/ 314567 w 4868333"/>
            <a:gd name="csY1" fmla="*/ 0 h 1887362"/>
            <a:gd name="csX2" fmla="*/ 4553766 w 4868333"/>
            <a:gd name="csY2" fmla="*/ 0 h 1887362"/>
            <a:gd name="csX3" fmla="*/ 4868333 w 4868333"/>
            <a:gd name="csY3" fmla="*/ 314567 h 1887362"/>
            <a:gd name="csX4" fmla="*/ 4868333 w 4868333"/>
            <a:gd name="csY4" fmla="*/ 1572795 h 1887362"/>
            <a:gd name="csX5" fmla="*/ 4553766 w 4868333"/>
            <a:gd name="csY5" fmla="*/ 1887362 h 1887362"/>
            <a:gd name="csX6" fmla="*/ 314567 w 4868333"/>
            <a:gd name="csY6" fmla="*/ 1887362 h 1887362"/>
            <a:gd name="csX7" fmla="*/ 0 w 4868333"/>
            <a:gd name="csY7" fmla="*/ 1572795 h 1887362"/>
            <a:gd name="csX8" fmla="*/ 0 w 4868333"/>
            <a:gd name="csY8" fmla="*/ 314567 h 1887362"/>
            <a:gd name="csX0" fmla="*/ 0 w 4890857"/>
            <a:gd name="csY0" fmla="*/ 314567 h 1887362"/>
            <a:gd name="csX1" fmla="*/ 314567 w 4890857"/>
            <a:gd name="csY1" fmla="*/ 0 h 1887362"/>
            <a:gd name="csX2" fmla="*/ 4783072 w 4890857"/>
            <a:gd name="csY2" fmla="*/ 35277 h 1887362"/>
            <a:gd name="csX3" fmla="*/ 4868333 w 4890857"/>
            <a:gd name="csY3" fmla="*/ 314567 h 1887362"/>
            <a:gd name="csX4" fmla="*/ 4868333 w 4890857"/>
            <a:gd name="csY4" fmla="*/ 1572795 h 1887362"/>
            <a:gd name="csX5" fmla="*/ 4553766 w 4890857"/>
            <a:gd name="csY5" fmla="*/ 1887362 h 1887362"/>
            <a:gd name="csX6" fmla="*/ 314567 w 4890857"/>
            <a:gd name="csY6" fmla="*/ 1887362 h 1887362"/>
            <a:gd name="csX7" fmla="*/ 0 w 4890857"/>
            <a:gd name="csY7" fmla="*/ 1572795 h 1887362"/>
            <a:gd name="csX8" fmla="*/ 0 w 4890857"/>
            <a:gd name="csY8" fmla="*/ 314567 h 1887362"/>
            <a:gd name="csX0" fmla="*/ 0 w 4890857"/>
            <a:gd name="csY0" fmla="*/ 314567 h 1887362"/>
            <a:gd name="csX1" fmla="*/ 191095 w 4890857"/>
            <a:gd name="csY1" fmla="*/ 0 h 1887362"/>
            <a:gd name="csX2" fmla="*/ 4783072 w 4890857"/>
            <a:gd name="csY2" fmla="*/ 35277 h 1887362"/>
            <a:gd name="csX3" fmla="*/ 4868333 w 4890857"/>
            <a:gd name="csY3" fmla="*/ 314567 h 1887362"/>
            <a:gd name="csX4" fmla="*/ 4868333 w 4890857"/>
            <a:gd name="csY4" fmla="*/ 1572795 h 1887362"/>
            <a:gd name="csX5" fmla="*/ 4553766 w 4890857"/>
            <a:gd name="csY5" fmla="*/ 1887362 h 1887362"/>
            <a:gd name="csX6" fmla="*/ 314567 w 4890857"/>
            <a:gd name="csY6" fmla="*/ 1887362 h 1887362"/>
            <a:gd name="csX7" fmla="*/ 0 w 4890857"/>
            <a:gd name="csY7" fmla="*/ 1572795 h 1887362"/>
            <a:gd name="csX8" fmla="*/ 0 w 4890857"/>
            <a:gd name="csY8" fmla="*/ 314567 h 1887362"/>
            <a:gd name="csX0" fmla="*/ 0 w 4890857"/>
            <a:gd name="csY0" fmla="*/ 314567 h 1887362"/>
            <a:gd name="csX1" fmla="*/ 191095 w 4890857"/>
            <a:gd name="csY1" fmla="*/ 0 h 1887362"/>
            <a:gd name="csX2" fmla="*/ 4783072 w 4890857"/>
            <a:gd name="csY2" fmla="*/ 35277 h 1887362"/>
            <a:gd name="csX3" fmla="*/ 4868333 w 4890857"/>
            <a:gd name="csY3" fmla="*/ 314567 h 1887362"/>
            <a:gd name="csX4" fmla="*/ 4868333 w 4890857"/>
            <a:gd name="csY4" fmla="*/ 1572795 h 1887362"/>
            <a:gd name="csX5" fmla="*/ 4553766 w 4890857"/>
            <a:gd name="csY5" fmla="*/ 1887362 h 1887362"/>
            <a:gd name="csX6" fmla="*/ 191095 w 4890857"/>
            <a:gd name="csY6" fmla="*/ 1869723 h 1887362"/>
            <a:gd name="csX7" fmla="*/ 0 w 4890857"/>
            <a:gd name="csY7" fmla="*/ 1572795 h 1887362"/>
            <a:gd name="csX8" fmla="*/ 0 w 4890857"/>
            <a:gd name="csY8" fmla="*/ 314567 h 1887362"/>
            <a:gd name="csX0" fmla="*/ 0 w 4890857"/>
            <a:gd name="csY0" fmla="*/ 314567 h 1887362"/>
            <a:gd name="csX1" fmla="*/ 191095 w 4890857"/>
            <a:gd name="csY1" fmla="*/ 0 h 1887362"/>
            <a:gd name="csX2" fmla="*/ 4783072 w 4890857"/>
            <a:gd name="csY2" fmla="*/ 35277 h 1887362"/>
            <a:gd name="csX3" fmla="*/ 4868333 w 4890857"/>
            <a:gd name="csY3" fmla="*/ 314567 h 1887362"/>
            <a:gd name="csX4" fmla="*/ 4868333 w 4890857"/>
            <a:gd name="csY4" fmla="*/ 1572795 h 1887362"/>
            <a:gd name="csX5" fmla="*/ 4694877 w 4890857"/>
            <a:gd name="csY5" fmla="*/ 1887362 h 1887362"/>
            <a:gd name="csX6" fmla="*/ 191095 w 4890857"/>
            <a:gd name="csY6" fmla="*/ 1869723 h 1887362"/>
            <a:gd name="csX7" fmla="*/ 0 w 4890857"/>
            <a:gd name="csY7" fmla="*/ 1572795 h 1887362"/>
            <a:gd name="csX8" fmla="*/ 0 w 4890857"/>
            <a:gd name="csY8" fmla="*/ 314567 h 188736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890857" h="1887362">
              <a:moveTo>
                <a:pt x="0" y="314567"/>
              </a:moveTo>
              <a:cubicBezTo>
                <a:pt x="0" y="140836"/>
                <a:pt x="17364" y="0"/>
                <a:pt x="191095" y="0"/>
              </a:cubicBezTo>
              <a:lnTo>
                <a:pt x="4783072" y="35277"/>
              </a:lnTo>
              <a:cubicBezTo>
                <a:pt x="4956803" y="35277"/>
                <a:pt x="4868333" y="140836"/>
                <a:pt x="4868333" y="314567"/>
              </a:cubicBezTo>
              <a:lnTo>
                <a:pt x="4868333" y="1572795"/>
              </a:lnTo>
              <a:cubicBezTo>
                <a:pt x="4868333" y="1746526"/>
                <a:pt x="4868608" y="1887362"/>
                <a:pt x="4694877" y="1887362"/>
              </a:cubicBezTo>
              <a:lnTo>
                <a:pt x="191095" y="1869723"/>
              </a:lnTo>
              <a:cubicBezTo>
                <a:pt x="17364" y="1869723"/>
                <a:pt x="0" y="1746526"/>
                <a:pt x="0" y="1572795"/>
              </a:cubicBezTo>
              <a:lnTo>
                <a:pt x="0" y="314567"/>
              </a:lnTo>
              <a:close/>
            </a:path>
          </a:pathLst>
        </a:custGeom>
        <a:solidFill>
          <a:schemeClr val="bg1">
            <a:alpha val="91000"/>
          </a:schemeClr>
        </a:solidFill>
        <a:ln w="12700">
          <a:solidFill>
            <a:schemeClr val="accent1">
              <a:shade val="15000"/>
              <a:alpha val="8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282222</xdr:colOff>
      <xdr:row>23</xdr:row>
      <xdr:rowOff>123473</xdr:rowOff>
    </xdr:from>
    <xdr:to>
      <xdr:col>15</xdr:col>
      <xdr:colOff>282222</xdr:colOff>
      <xdr:row>40</xdr:row>
      <xdr:rowOff>123473</xdr:rowOff>
    </xdr:to>
    <xdr:sp macro="" textlink="">
      <xdr:nvSpPr>
        <xdr:cNvPr id="10" name="Rectangle: Rounded Corners 9">
          <a:extLst>
            <a:ext uri="{FF2B5EF4-FFF2-40B4-BE49-F238E27FC236}">
              <a16:creationId xmlns:a16="http://schemas.microsoft.com/office/drawing/2014/main" id="{68E8BE30-5633-4185-8301-F11A0D063B44}"/>
            </a:ext>
          </a:extLst>
        </xdr:cNvPr>
        <xdr:cNvSpPr/>
      </xdr:nvSpPr>
      <xdr:spPr>
        <a:xfrm>
          <a:off x="4603750" y="4586112"/>
          <a:ext cx="4938889" cy="3298472"/>
        </a:xfrm>
        <a:custGeom>
          <a:avLst/>
          <a:gdLst>
            <a:gd name="csX0" fmla="*/ 0 w 4997451"/>
            <a:gd name="csY0" fmla="*/ 688989 h 4133849"/>
            <a:gd name="csX1" fmla="*/ 688989 w 4997451"/>
            <a:gd name="csY1" fmla="*/ 0 h 4133849"/>
            <a:gd name="csX2" fmla="*/ 4308462 w 4997451"/>
            <a:gd name="csY2" fmla="*/ 0 h 4133849"/>
            <a:gd name="csX3" fmla="*/ 4997451 w 4997451"/>
            <a:gd name="csY3" fmla="*/ 688989 h 4133849"/>
            <a:gd name="csX4" fmla="*/ 4997451 w 4997451"/>
            <a:gd name="csY4" fmla="*/ 3444860 h 4133849"/>
            <a:gd name="csX5" fmla="*/ 4308462 w 4997451"/>
            <a:gd name="csY5" fmla="*/ 4133849 h 4133849"/>
            <a:gd name="csX6" fmla="*/ 688989 w 4997451"/>
            <a:gd name="csY6" fmla="*/ 4133849 h 4133849"/>
            <a:gd name="csX7" fmla="*/ 0 w 4997451"/>
            <a:gd name="csY7" fmla="*/ 3444860 h 4133849"/>
            <a:gd name="csX8" fmla="*/ 0 w 4997451"/>
            <a:gd name="csY8" fmla="*/ 688989 h 4133849"/>
            <a:gd name="csX0" fmla="*/ 0 w 4997469"/>
            <a:gd name="csY0" fmla="*/ 688989 h 4133849"/>
            <a:gd name="csX1" fmla="*/ 688989 w 4997469"/>
            <a:gd name="csY1" fmla="*/ 0 h 4133849"/>
            <a:gd name="csX2" fmla="*/ 4625962 w 4997469"/>
            <a:gd name="csY2" fmla="*/ 0 h 4133849"/>
            <a:gd name="csX3" fmla="*/ 4997451 w 4997469"/>
            <a:gd name="csY3" fmla="*/ 688989 h 4133849"/>
            <a:gd name="csX4" fmla="*/ 4997451 w 4997469"/>
            <a:gd name="csY4" fmla="*/ 3444860 h 4133849"/>
            <a:gd name="csX5" fmla="*/ 4308462 w 4997469"/>
            <a:gd name="csY5" fmla="*/ 4133849 h 4133849"/>
            <a:gd name="csX6" fmla="*/ 688989 w 4997469"/>
            <a:gd name="csY6" fmla="*/ 4133849 h 4133849"/>
            <a:gd name="csX7" fmla="*/ 0 w 4997469"/>
            <a:gd name="csY7" fmla="*/ 3444860 h 4133849"/>
            <a:gd name="csX8" fmla="*/ 0 w 4997469"/>
            <a:gd name="csY8" fmla="*/ 688989 h 4133849"/>
            <a:gd name="csX0" fmla="*/ 0 w 4997469"/>
            <a:gd name="csY0" fmla="*/ 724267 h 4169127"/>
            <a:gd name="csX1" fmla="*/ 424405 w 4997469"/>
            <a:gd name="csY1" fmla="*/ 0 h 4169127"/>
            <a:gd name="csX2" fmla="*/ 4625962 w 4997469"/>
            <a:gd name="csY2" fmla="*/ 35278 h 4169127"/>
            <a:gd name="csX3" fmla="*/ 4997451 w 4997469"/>
            <a:gd name="csY3" fmla="*/ 724267 h 4169127"/>
            <a:gd name="csX4" fmla="*/ 4997451 w 4997469"/>
            <a:gd name="csY4" fmla="*/ 3480138 h 4169127"/>
            <a:gd name="csX5" fmla="*/ 4308462 w 4997469"/>
            <a:gd name="csY5" fmla="*/ 4169127 h 4169127"/>
            <a:gd name="csX6" fmla="*/ 688989 w 4997469"/>
            <a:gd name="csY6" fmla="*/ 4169127 h 4169127"/>
            <a:gd name="csX7" fmla="*/ 0 w 4997469"/>
            <a:gd name="csY7" fmla="*/ 3480138 h 4169127"/>
            <a:gd name="csX8" fmla="*/ 0 w 4997469"/>
            <a:gd name="csY8" fmla="*/ 724267 h 4169127"/>
            <a:gd name="csX0" fmla="*/ 0 w 4997469"/>
            <a:gd name="csY0" fmla="*/ 724267 h 4169127"/>
            <a:gd name="csX1" fmla="*/ 424405 w 4997469"/>
            <a:gd name="csY1" fmla="*/ 0 h 4169127"/>
            <a:gd name="csX2" fmla="*/ 4625962 w 4997469"/>
            <a:gd name="csY2" fmla="*/ 35278 h 4169127"/>
            <a:gd name="csX3" fmla="*/ 4997451 w 4997469"/>
            <a:gd name="csY3" fmla="*/ 724267 h 4169127"/>
            <a:gd name="csX4" fmla="*/ 4997451 w 4997469"/>
            <a:gd name="csY4" fmla="*/ 3480138 h 4169127"/>
            <a:gd name="csX5" fmla="*/ 4308462 w 4997469"/>
            <a:gd name="csY5" fmla="*/ 4169127 h 4169127"/>
            <a:gd name="csX6" fmla="*/ 406767 w 4997469"/>
            <a:gd name="csY6" fmla="*/ 4063294 h 4169127"/>
            <a:gd name="csX7" fmla="*/ 0 w 4997469"/>
            <a:gd name="csY7" fmla="*/ 3480138 h 4169127"/>
            <a:gd name="csX8" fmla="*/ 0 w 4997469"/>
            <a:gd name="csY8" fmla="*/ 724267 h 4169127"/>
            <a:gd name="csX0" fmla="*/ 0 w 4997469"/>
            <a:gd name="csY0" fmla="*/ 724267 h 4169127"/>
            <a:gd name="csX1" fmla="*/ 424405 w 4997469"/>
            <a:gd name="csY1" fmla="*/ 0 h 4169127"/>
            <a:gd name="csX2" fmla="*/ 4625962 w 4997469"/>
            <a:gd name="csY2" fmla="*/ 35278 h 4169127"/>
            <a:gd name="csX3" fmla="*/ 4997451 w 4997469"/>
            <a:gd name="csY3" fmla="*/ 724267 h 4169127"/>
            <a:gd name="csX4" fmla="*/ 4997451 w 4997469"/>
            <a:gd name="csY4" fmla="*/ 3480138 h 4169127"/>
            <a:gd name="csX5" fmla="*/ 4608323 w 4997469"/>
            <a:gd name="csY5" fmla="*/ 4169127 h 4169127"/>
            <a:gd name="csX6" fmla="*/ 406767 w 4997469"/>
            <a:gd name="csY6" fmla="*/ 4063294 h 4169127"/>
            <a:gd name="csX7" fmla="*/ 0 w 4997469"/>
            <a:gd name="csY7" fmla="*/ 3480138 h 4169127"/>
            <a:gd name="csX8" fmla="*/ 0 w 4997469"/>
            <a:gd name="csY8" fmla="*/ 724267 h 4169127"/>
            <a:gd name="csX0" fmla="*/ 0 w 4997469"/>
            <a:gd name="csY0" fmla="*/ 724267 h 4169127"/>
            <a:gd name="csX1" fmla="*/ 424405 w 4997469"/>
            <a:gd name="csY1" fmla="*/ 0 h 4169127"/>
            <a:gd name="csX2" fmla="*/ 4625962 w 4997469"/>
            <a:gd name="csY2" fmla="*/ 35278 h 4169127"/>
            <a:gd name="csX3" fmla="*/ 4997451 w 4997469"/>
            <a:gd name="csY3" fmla="*/ 724267 h 4169127"/>
            <a:gd name="csX4" fmla="*/ 4997451 w 4997469"/>
            <a:gd name="csY4" fmla="*/ 3480138 h 4169127"/>
            <a:gd name="csX5" fmla="*/ 4608323 w 4997469"/>
            <a:gd name="csY5" fmla="*/ 4169127 h 4169127"/>
            <a:gd name="csX6" fmla="*/ 406767 w 4997469"/>
            <a:gd name="csY6" fmla="*/ 4116211 h 4169127"/>
            <a:gd name="csX7" fmla="*/ 0 w 4997469"/>
            <a:gd name="csY7" fmla="*/ 3480138 h 4169127"/>
            <a:gd name="csX8" fmla="*/ 0 w 4997469"/>
            <a:gd name="csY8" fmla="*/ 724267 h 416912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997469" h="4169127">
              <a:moveTo>
                <a:pt x="0" y="724267"/>
              </a:moveTo>
              <a:cubicBezTo>
                <a:pt x="0" y="343749"/>
                <a:pt x="43887" y="0"/>
                <a:pt x="424405" y="0"/>
              </a:cubicBezTo>
              <a:lnTo>
                <a:pt x="4625962" y="35278"/>
              </a:lnTo>
              <a:cubicBezTo>
                <a:pt x="5006480" y="35278"/>
                <a:pt x="4997451" y="343749"/>
                <a:pt x="4997451" y="724267"/>
              </a:cubicBezTo>
              <a:lnTo>
                <a:pt x="4997451" y="3480138"/>
              </a:lnTo>
              <a:cubicBezTo>
                <a:pt x="4997451" y="3860656"/>
                <a:pt x="4988841" y="4169127"/>
                <a:pt x="4608323" y="4169127"/>
              </a:cubicBezTo>
              <a:lnTo>
                <a:pt x="406767" y="4116211"/>
              </a:lnTo>
              <a:cubicBezTo>
                <a:pt x="26249" y="4116211"/>
                <a:pt x="0" y="3860656"/>
                <a:pt x="0" y="3480138"/>
              </a:cubicBezTo>
              <a:lnTo>
                <a:pt x="0" y="724267"/>
              </a:lnTo>
              <a:close/>
            </a:path>
          </a:pathLst>
        </a:custGeom>
        <a:solidFill>
          <a:schemeClr val="bg1">
            <a:alpha val="91000"/>
          </a:schemeClr>
        </a:solidFill>
        <a:ln w="12700">
          <a:solidFill>
            <a:schemeClr val="accent1">
              <a:shade val="15000"/>
              <a:alpha val="8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lt1">
                  <a:shade val="50000"/>
                </a:schemeClr>
              </a:solidFill>
            </a:ln>
            <a:noFill/>
          </a:endParaRPr>
        </a:p>
      </xdr:txBody>
    </xdr:sp>
    <xdr:clientData/>
  </xdr:twoCellAnchor>
  <xdr:twoCellAnchor>
    <xdr:from>
      <xdr:col>15</xdr:col>
      <xdr:colOff>423332</xdr:colOff>
      <xdr:row>9</xdr:row>
      <xdr:rowOff>105833</xdr:rowOff>
    </xdr:from>
    <xdr:to>
      <xdr:col>23</xdr:col>
      <xdr:colOff>141110</xdr:colOff>
      <xdr:row>24</xdr:row>
      <xdr:rowOff>141111</xdr:rowOff>
    </xdr:to>
    <xdr:sp macro="" textlink="">
      <xdr:nvSpPr>
        <xdr:cNvPr id="11" name="Rectangle: Rounded Corners 10">
          <a:extLst>
            <a:ext uri="{FF2B5EF4-FFF2-40B4-BE49-F238E27FC236}">
              <a16:creationId xmlns:a16="http://schemas.microsoft.com/office/drawing/2014/main" id="{D2E4EB63-9DAA-41B3-B869-111313C15661}"/>
            </a:ext>
          </a:extLst>
        </xdr:cNvPr>
        <xdr:cNvSpPr/>
      </xdr:nvSpPr>
      <xdr:spPr>
        <a:xfrm>
          <a:off x="9683749" y="1852083"/>
          <a:ext cx="4656667" cy="2945695"/>
        </a:xfrm>
        <a:custGeom>
          <a:avLst/>
          <a:gdLst>
            <a:gd name="csX0" fmla="*/ 0 w 4674306"/>
            <a:gd name="csY0" fmla="*/ 496839 h 2980972"/>
            <a:gd name="csX1" fmla="*/ 496839 w 4674306"/>
            <a:gd name="csY1" fmla="*/ 0 h 2980972"/>
            <a:gd name="csX2" fmla="*/ 4177467 w 4674306"/>
            <a:gd name="csY2" fmla="*/ 0 h 2980972"/>
            <a:gd name="csX3" fmla="*/ 4674306 w 4674306"/>
            <a:gd name="csY3" fmla="*/ 496839 h 2980972"/>
            <a:gd name="csX4" fmla="*/ 4674306 w 4674306"/>
            <a:gd name="csY4" fmla="*/ 2484133 h 2980972"/>
            <a:gd name="csX5" fmla="*/ 4177467 w 4674306"/>
            <a:gd name="csY5" fmla="*/ 2980972 h 2980972"/>
            <a:gd name="csX6" fmla="*/ 496839 w 4674306"/>
            <a:gd name="csY6" fmla="*/ 2980972 h 2980972"/>
            <a:gd name="csX7" fmla="*/ 0 w 4674306"/>
            <a:gd name="csY7" fmla="*/ 2484133 h 2980972"/>
            <a:gd name="csX8" fmla="*/ 0 w 4674306"/>
            <a:gd name="csY8" fmla="*/ 496839 h 2980972"/>
            <a:gd name="csX0" fmla="*/ 0 w 4674306"/>
            <a:gd name="csY0" fmla="*/ 496839 h 2998611"/>
            <a:gd name="csX1" fmla="*/ 496839 w 4674306"/>
            <a:gd name="csY1" fmla="*/ 0 h 2998611"/>
            <a:gd name="csX2" fmla="*/ 4177467 w 4674306"/>
            <a:gd name="csY2" fmla="*/ 0 h 2998611"/>
            <a:gd name="csX3" fmla="*/ 4674306 w 4674306"/>
            <a:gd name="csY3" fmla="*/ 496839 h 2998611"/>
            <a:gd name="csX4" fmla="*/ 4674306 w 4674306"/>
            <a:gd name="csY4" fmla="*/ 2484133 h 2998611"/>
            <a:gd name="csX5" fmla="*/ 4389134 w 4674306"/>
            <a:gd name="csY5" fmla="*/ 2998611 h 2998611"/>
            <a:gd name="csX6" fmla="*/ 496839 w 4674306"/>
            <a:gd name="csY6" fmla="*/ 2980972 h 2998611"/>
            <a:gd name="csX7" fmla="*/ 0 w 4674306"/>
            <a:gd name="csY7" fmla="*/ 2484133 h 2998611"/>
            <a:gd name="csX8" fmla="*/ 0 w 4674306"/>
            <a:gd name="csY8" fmla="*/ 496839 h 2998611"/>
            <a:gd name="csX0" fmla="*/ 0 w 4674306"/>
            <a:gd name="csY0" fmla="*/ 496839 h 2998611"/>
            <a:gd name="csX1" fmla="*/ 496839 w 4674306"/>
            <a:gd name="csY1" fmla="*/ 0 h 2998611"/>
            <a:gd name="csX2" fmla="*/ 4177467 w 4674306"/>
            <a:gd name="csY2" fmla="*/ 0 h 2998611"/>
            <a:gd name="csX3" fmla="*/ 4674306 w 4674306"/>
            <a:gd name="csY3" fmla="*/ 496839 h 2998611"/>
            <a:gd name="csX4" fmla="*/ 4674306 w 4674306"/>
            <a:gd name="csY4" fmla="*/ 2484133 h 2998611"/>
            <a:gd name="csX5" fmla="*/ 4389134 w 4674306"/>
            <a:gd name="csY5" fmla="*/ 2998611 h 2998611"/>
            <a:gd name="csX6" fmla="*/ 338089 w 4674306"/>
            <a:gd name="csY6" fmla="*/ 2998611 h 2998611"/>
            <a:gd name="csX7" fmla="*/ 0 w 4674306"/>
            <a:gd name="csY7" fmla="*/ 2484133 h 2998611"/>
            <a:gd name="csX8" fmla="*/ 0 w 4674306"/>
            <a:gd name="csY8" fmla="*/ 496839 h 299861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674306" h="2998611">
              <a:moveTo>
                <a:pt x="0" y="496839"/>
              </a:moveTo>
              <a:cubicBezTo>
                <a:pt x="0" y="222442"/>
                <a:pt x="222442" y="0"/>
                <a:pt x="496839" y="0"/>
              </a:cubicBezTo>
              <a:lnTo>
                <a:pt x="4177467" y="0"/>
              </a:lnTo>
              <a:cubicBezTo>
                <a:pt x="4451864" y="0"/>
                <a:pt x="4674306" y="222442"/>
                <a:pt x="4674306" y="496839"/>
              </a:cubicBezTo>
              <a:lnTo>
                <a:pt x="4674306" y="2484133"/>
              </a:lnTo>
              <a:cubicBezTo>
                <a:pt x="4674306" y="2758530"/>
                <a:pt x="4663531" y="2998611"/>
                <a:pt x="4389134" y="2998611"/>
              </a:cubicBezTo>
              <a:lnTo>
                <a:pt x="338089" y="2998611"/>
              </a:lnTo>
              <a:cubicBezTo>
                <a:pt x="63692" y="2998611"/>
                <a:pt x="0" y="2758530"/>
                <a:pt x="0" y="2484133"/>
              </a:cubicBezTo>
              <a:lnTo>
                <a:pt x="0" y="496839"/>
              </a:lnTo>
              <a:close/>
            </a:path>
          </a:pathLst>
        </a:custGeom>
        <a:solidFill>
          <a:schemeClr val="bg1">
            <a:alpha val="91000"/>
          </a:schemeClr>
        </a:solidFill>
        <a:ln w="12700">
          <a:solidFill>
            <a:schemeClr val="accent1">
              <a:shade val="15000"/>
              <a:alpha val="8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405694</xdr:colOff>
      <xdr:row>24</xdr:row>
      <xdr:rowOff>176389</xdr:rowOff>
    </xdr:from>
    <xdr:to>
      <xdr:col>23</xdr:col>
      <xdr:colOff>105832</xdr:colOff>
      <xdr:row>40</xdr:row>
      <xdr:rowOff>105833</xdr:rowOff>
    </xdr:to>
    <xdr:sp macro="" textlink="">
      <xdr:nvSpPr>
        <xdr:cNvPr id="12" name="Rectangle: Rounded Corners 11">
          <a:extLst>
            <a:ext uri="{FF2B5EF4-FFF2-40B4-BE49-F238E27FC236}">
              <a16:creationId xmlns:a16="http://schemas.microsoft.com/office/drawing/2014/main" id="{EE5D09F1-FEAD-443B-907D-F6B26389DEFA}"/>
            </a:ext>
          </a:extLst>
        </xdr:cNvPr>
        <xdr:cNvSpPr/>
      </xdr:nvSpPr>
      <xdr:spPr>
        <a:xfrm>
          <a:off x="9666111" y="4833056"/>
          <a:ext cx="4639027" cy="3033888"/>
        </a:xfrm>
        <a:prstGeom prst="roundRect">
          <a:avLst/>
        </a:prstGeom>
        <a:solidFill>
          <a:schemeClr val="bg1">
            <a:alpha val="91000"/>
          </a:schemeClr>
        </a:solidFill>
        <a:ln w="12700">
          <a:solidFill>
            <a:schemeClr val="accent1">
              <a:shade val="15000"/>
              <a:alpha val="8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176389</xdr:colOff>
      <xdr:row>9</xdr:row>
      <xdr:rowOff>70557</xdr:rowOff>
    </xdr:from>
    <xdr:to>
      <xdr:col>31</xdr:col>
      <xdr:colOff>35313</xdr:colOff>
      <xdr:row>40</xdr:row>
      <xdr:rowOff>52918</xdr:rowOff>
    </xdr:to>
    <xdr:sp macro="" textlink="">
      <xdr:nvSpPr>
        <xdr:cNvPr id="13" name="Rectangle: Rounded Corners 12">
          <a:extLst>
            <a:ext uri="{FF2B5EF4-FFF2-40B4-BE49-F238E27FC236}">
              <a16:creationId xmlns:a16="http://schemas.microsoft.com/office/drawing/2014/main" id="{3EE25687-1010-4E50-B566-A9B8A1C256F9}"/>
            </a:ext>
          </a:extLst>
        </xdr:cNvPr>
        <xdr:cNvSpPr/>
      </xdr:nvSpPr>
      <xdr:spPr>
        <a:xfrm>
          <a:off x="14375695" y="1816807"/>
          <a:ext cx="4797812" cy="5997222"/>
        </a:xfrm>
        <a:custGeom>
          <a:avLst/>
          <a:gdLst>
            <a:gd name="csX0" fmla="*/ 0 w 4797777"/>
            <a:gd name="csY0" fmla="*/ 799645 h 5944305"/>
            <a:gd name="csX1" fmla="*/ 799645 w 4797777"/>
            <a:gd name="csY1" fmla="*/ 0 h 5944305"/>
            <a:gd name="csX2" fmla="*/ 3998132 w 4797777"/>
            <a:gd name="csY2" fmla="*/ 0 h 5944305"/>
            <a:gd name="csX3" fmla="*/ 4797777 w 4797777"/>
            <a:gd name="csY3" fmla="*/ 799645 h 5944305"/>
            <a:gd name="csX4" fmla="*/ 4797777 w 4797777"/>
            <a:gd name="csY4" fmla="*/ 5144660 h 5944305"/>
            <a:gd name="csX5" fmla="*/ 3998132 w 4797777"/>
            <a:gd name="csY5" fmla="*/ 5944305 h 5944305"/>
            <a:gd name="csX6" fmla="*/ 799645 w 4797777"/>
            <a:gd name="csY6" fmla="*/ 5944305 h 5944305"/>
            <a:gd name="csX7" fmla="*/ 0 w 4797777"/>
            <a:gd name="csY7" fmla="*/ 5144660 h 5944305"/>
            <a:gd name="csX8" fmla="*/ 0 w 4797777"/>
            <a:gd name="csY8" fmla="*/ 799645 h 5944305"/>
            <a:gd name="csX0" fmla="*/ 0 w 4797777"/>
            <a:gd name="csY0" fmla="*/ 799645 h 5944305"/>
            <a:gd name="csX1" fmla="*/ 482145 w 4797777"/>
            <a:gd name="csY1" fmla="*/ 35278 h 5944305"/>
            <a:gd name="csX2" fmla="*/ 3998132 w 4797777"/>
            <a:gd name="csY2" fmla="*/ 0 h 5944305"/>
            <a:gd name="csX3" fmla="*/ 4797777 w 4797777"/>
            <a:gd name="csY3" fmla="*/ 799645 h 5944305"/>
            <a:gd name="csX4" fmla="*/ 4797777 w 4797777"/>
            <a:gd name="csY4" fmla="*/ 5144660 h 5944305"/>
            <a:gd name="csX5" fmla="*/ 3998132 w 4797777"/>
            <a:gd name="csY5" fmla="*/ 5944305 h 5944305"/>
            <a:gd name="csX6" fmla="*/ 799645 w 4797777"/>
            <a:gd name="csY6" fmla="*/ 5944305 h 5944305"/>
            <a:gd name="csX7" fmla="*/ 0 w 4797777"/>
            <a:gd name="csY7" fmla="*/ 5144660 h 5944305"/>
            <a:gd name="csX8" fmla="*/ 0 w 4797777"/>
            <a:gd name="csY8" fmla="*/ 799645 h 5944305"/>
            <a:gd name="csX0" fmla="*/ 0 w 4797777"/>
            <a:gd name="csY0" fmla="*/ 852562 h 5997222"/>
            <a:gd name="csX1" fmla="*/ 482145 w 4797777"/>
            <a:gd name="csY1" fmla="*/ 88195 h 5997222"/>
            <a:gd name="csX2" fmla="*/ 4333270 w 4797777"/>
            <a:gd name="csY2" fmla="*/ 0 h 5997222"/>
            <a:gd name="csX3" fmla="*/ 4797777 w 4797777"/>
            <a:gd name="csY3" fmla="*/ 852562 h 5997222"/>
            <a:gd name="csX4" fmla="*/ 4797777 w 4797777"/>
            <a:gd name="csY4" fmla="*/ 5197577 h 5997222"/>
            <a:gd name="csX5" fmla="*/ 3998132 w 4797777"/>
            <a:gd name="csY5" fmla="*/ 5997222 h 5997222"/>
            <a:gd name="csX6" fmla="*/ 799645 w 4797777"/>
            <a:gd name="csY6" fmla="*/ 5997222 h 5997222"/>
            <a:gd name="csX7" fmla="*/ 0 w 4797777"/>
            <a:gd name="csY7" fmla="*/ 5197577 h 5997222"/>
            <a:gd name="csX8" fmla="*/ 0 w 4797777"/>
            <a:gd name="csY8" fmla="*/ 852562 h 5997222"/>
            <a:gd name="csX0" fmla="*/ 0 w 4797812"/>
            <a:gd name="csY0" fmla="*/ 782006 h 5926666"/>
            <a:gd name="csX1" fmla="*/ 482145 w 4797812"/>
            <a:gd name="csY1" fmla="*/ 17639 h 5926666"/>
            <a:gd name="csX2" fmla="*/ 4368548 w 4797812"/>
            <a:gd name="csY2" fmla="*/ 0 h 5926666"/>
            <a:gd name="csX3" fmla="*/ 4797777 w 4797812"/>
            <a:gd name="csY3" fmla="*/ 782006 h 5926666"/>
            <a:gd name="csX4" fmla="*/ 4797777 w 4797812"/>
            <a:gd name="csY4" fmla="*/ 5127021 h 5926666"/>
            <a:gd name="csX5" fmla="*/ 3998132 w 4797812"/>
            <a:gd name="csY5" fmla="*/ 5926666 h 5926666"/>
            <a:gd name="csX6" fmla="*/ 799645 w 4797812"/>
            <a:gd name="csY6" fmla="*/ 5926666 h 5926666"/>
            <a:gd name="csX7" fmla="*/ 0 w 4797812"/>
            <a:gd name="csY7" fmla="*/ 5127021 h 5926666"/>
            <a:gd name="csX8" fmla="*/ 0 w 4797812"/>
            <a:gd name="csY8" fmla="*/ 782006 h 5926666"/>
            <a:gd name="csX0" fmla="*/ 0 w 4797812"/>
            <a:gd name="csY0" fmla="*/ 782006 h 5926666"/>
            <a:gd name="csX1" fmla="*/ 482145 w 4797812"/>
            <a:gd name="csY1" fmla="*/ 17639 h 5926666"/>
            <a:gd name="csX2" fmla="*/ 4368548 w 4797812"/>
            <a:gd name="csY2" fmla="*/ 0 h 5926666"/>
            <a:gd name="csX3" fmla="*/ 4797777 w 4797812"/>
            <a:gd name="csY3" fmla="*/ 782006 h 5926666"/>
            <a:gd name="csX4" fmla="*/ 4797777 w 4797812"/>
            <a:gd name="csY4" fmla="*/ 5127021 h 5926666"/>
            <a:gd name="csX5" fmla="*/ 3998132 w 4797812"/>
            <a:gd name="csY5" fmla="*/ 5926666 h 5926666"/>
            <a:gd name="csX6" fmla="*/ 799645 w 4797812"/>
            <a:gd name="csY6" fmla="*/ 5926666 h 5926666"/>
            <a:gd name="csX7" fmla="*/ 0 w 4797812"/>
            <a:gd name="csY7" fmla="*/ 5127021 h 5926666"/>
            <a:gd name="csX8" fmla="*/ 0 w 4797812"/>
            <a:gd name="csY8" fmla="*/ 782006 h 5926666"/>
            <a:gd name="csX0" fmla="*/ 0 w 4797812"/>
            <a:gd name="csY0" fmla="*/ 782006 h 5926666"/>
            <a:gd name="csX1" fmla="*/ 482145 w 4797812"/>
            <a:gd name="csY1" fmla="*/ 17639 h 5926666"/>
            <a:gd name="csX2" fmla="*/ 4368548 w 4797812"/>
            <a:gd name="csY2" fmla="*/ 0 h 5926666"/>
            <a:gd name="csX3" fmla="*/ 4797777 w 4797812"/>
            <a:gd name="csY3" fmla="*/ 782006 h 5926666"/>
            <a:gd name="csX4" fmla="*/ 4797777 w 4797812"/>
            <a:gd name="csY4" fmla="*/ 5127021 h 5926666"/>
            <a:gd name="csX5" fmla="*/ 4315632 w 4797812"/>
            <a:gd name="csY5" fmla="*/ 5891388 h 5926666"/>
            <a:gd name="csX6" fmla="*/ 799645 w 4797812"/>
            <a:gd name="csY6" fmla="*/ 5926666 h 5926666"/>
            <a:gd name="csX7" fmla="*/ 0 w 4797812"/>
            <a:gd name="csY7" fmla="*/ 5127021 h 5926666"/>
            <a:gd name="csX8" fmla="*/ 0 w 4797812"/>
            <a:gd name="csY8" fmla="*/ 782006 h 5926666"/>
            <a:gd name="csX0" fmla="*/ 0 w 4797812"/>
            <a:gd name="csY0" fmla="*/ 782006 h 5944305"/>
            <a:gd name="csX1" fmla="*/ 482145 w 4797812"/>
            <a:gd name="csY1" fmla="*/ 17639 h 5944305"/>
            <a:gd name="csX2" fmla="*/ 4368548 w 4797812"/>
            <a:gd name="csY2" fmla="*/ 0 h 5944305"/>
            <a:gd name="csX3" fmla="*/ 4797777 w 4797812"/>
            <a:gd name="csY3" fmla="*/ 782006 h 5944305"/>
            <a:gd name="csX4" fmla="*/ 4797777 w 4797812"/>
            <a:gd name="csY4" fmla="*/ 5127021 h 5944305"/>
            <a:gd name="csX5" fmla="*/ 4315632 w 4797812"/>
            <a:gd name="csY5" fmla="*/ 5891388 h 5944305"/>
            <a:gd name="csX6" fmla="*/ 482145 w 4797812"/>
            <a:gd name="csY6" fmla="*/ 5944305 h 5944305"/>
            <a:gd name="csX7" fmla="*/ 0 w 4797812"/>
            <a:gd name="csY7" fmla="*/ 5127021 h 5944305"/>
            <a:gd name="csX8" fmla="*/ 0 w 4797812"/>
            <a:gd name="csY8" fmla="*/ 782006 h 5944305"/>
            <a:gd name="csX0" fmla="*/ 0 w 4797812"/>
            <a:gd name="csY0" fmla="*/ 782006 h 5944305"/>
            <a:gd name="csX1" fmla="*/ 482145 w 4797812"/>
            <a:gd name="csY1" fmla="*/ 17639 h 5944305"/>
            <a:gd name="csX2" fmla="*/ 4368548 w 4797812"/>
            <a:gd name="csY2" fmla="*/ 0 h 5944305"/>
            <a:gd name="csX3" fmla="*/ 4797777 w 4797812"/>
            <a:gd name="csY3" fmla="*/ 782006 h 5944305"/>
            <a:gd name="csX4" fmla="*/ 4797777 w 4797812"/>
            <a:gd name="csY4" fmla="*/ 5127021 h 5944305"/>
            <a:gd name="csX5" fmla="*/ 4315632 w 4797812"/>
            <a:gd name="csY5" fmla="*/ 5926666 h 5944305"/>
            <a:gd name="csX6" fmla="*/ 482145 w 4797812"/>
            <a:gd name="csY6" fmla="*/ 5944305 h 5944305"/>
            <a:gd name="csX7" fmla="*/ 0 w 4797812"/>
            <a:gd name="csY7" fmla="*/ 5127021 h 5944305"/>
            <a:gd name="csX8" fmla="*/ 0 w 4797812"/>
            <a:gd name="csY8" fmla="*/ 782006 h 594430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797812" h="5944305">
              <a:moveTo>
                <a:pt x="0" y="782006"/>
              </a:moveTo>
              <a:cubicBezTo>
                <a:pt x="0" y="340374"/>
                <a:pt x="40513" y="17639"/>
                <a:pt x="482145" y="17639"/>
              </a:cubicBezTo>
              <a:lnTo>
                <a:pt x="4368548" y="0"/>
              </a:lnTo>
              <a:cubicBezTo>
                <a:pt x="4810180" y="0"/>
                <a:pt x="4797777" y="340374"/>
                <a:pt x="4797777" y="782006"/>
              </a:cubicBezTo>
              <a:lnTo>
                <a:pt x="4797777" y="5127021"/>
              </a:lnTo>
              <a:cubicBezTo>
                <a:pt x="4797777" y="5568653"/>
                <a:pt x="4757264" y="5926666"/>
                <a:pt x="4315632" y="5926666"/>
              </a:cubicBezTo>
              <a:lnTo>
                <a:pt x="482145" y="5944305"/>
              </a:lnTo>
              <a:cubicBezTo>
                <a:pt x="40513" y="5944305"/>
                <a:pt x="0" y="5568653"/>
                <a:pt x="0" y="5127021"/>
              </a:cubicBezTo>
              <a:lnTo>
                <a:pt x="0" y="782006"/>
              </a:lnTo>
              <a:close/>
            </a:path>
          </a:pathLst>
        </a:custGeom>
        <a:solidFill>
          <a:schemeClr val="bg1">
            <a:alpha val="91000"/>
          </a:schemeClr>
        </a:solidFill>
        <a:ln w="12700">
          <a:solidFill>
            <a:schemeClr val="accent1">
              <a:shade val="15000"/>
              <a:alpha val="8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357716</xdr:colOff>
      <xdr:row>9</xdr:row>
      <xdr:rowOff>110773</xdr:rowOff>
    </xdr:from>
    <xdr:to>
      <xdr:col>15</xdr:col>
      <xdr:colOff>176388</xdr:colOff>
      <xdr:row>16</xdr:row>
      <xdr:rowOff>70556</xdr:rowOff>
    </xdr:to>
    <xdr:sp macro="" textlink="">
      <xdr:nvSpPr>
        <xdr:cNvPr id="18" name="Rectangle: Rounded Corners 17">
          <a:extLst>
            <a:ext uri="{FF2B5EF4-FFF2-40B4-BE49-F238E27FC236}">
              <a16:creationId xmlns:a16="http://schemas.microsoft.com/office/drawing/2014/main" id="{0F5DFA9F-D5F3-4D3B-9811-91FCC32066A5}"/>
            </a:ext>
          </a:extLst>
        </xdr:cNvPr>
        <xdr:cNvSpPr/>
      </xdr:nvSpPr>
      <xdr:spPr>
        <a:xfrm>
          <a:off x="7148688" y="1857023"/>
          <a:ext cx="2288117" cy="1317977"/>
        </a:xfrm>
        <a:prstGeom prst="roundRect">
          <a:avLst/>
        </a:prstGeom>
        <a:solidFill>
          <a:srgbClr val="F0F4F6">
            <a:alpha val="90980"/>
          </a:srgbClr>
        </a:solidFill>
        <a:ln w="12700">
          <a:solidFill>
            <a:schemeClr val="accent1">
              <a:shade val="15000"/>
              <a:alpha val="8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351365</xdr:colOff>
      <xdr:row>16</xdr:row>
      <xdr:rowOff>104423</xdr:rowOff>
    </xdr:from>
    <xdr:to>
      <xdr:col>15</xdr:col>
      <xdr:colOff>211665</xdr:colOff>
      <xdr:row>23</xdr:row>
      <xdr:rowOff>64205</xdr:rowOff>
    </xdr:to>
    <xdr:sp macro="" textlink="">
      <xdr:nvSpPr>
        <xdr:cNvPr id="20" name="Rectangle: Rounded Corners 19">
          <a:extLst>
            <a:ext uri="{FF2B5EF4-FFF2-40B4-BE49-F238E27FC236}">
              <a16:creationId xmlns:a16="http://schemas.microsoft.com/office/drawing/2014/main" id="{6DFB28A6-B93D-407E-B2BD-7A264AFF8C77}"/>
            </a:ext>
          </a:extLst>
        </xdr:cNvPr>
        <xdr:cNvSpPr/>
      </xdr:nvSpPr>
      <xdr:spPr>
        <a:xfrm>
          <a:off x="7142337" y="3208867"/>
          <a:ext cx="2329745" cy="1317977"/>
        </a:xfrm>
        <a:prstGeom prst="roundRect">
          <a:avLst/>
        </a:prstGeom>
        <a:solidFill>
          <a:srgbClr val="F0F4F6">
            <a:alpha val="90980"/>
          </a:srgbClr>
        </a:solidFill>
        <a:ln w="12700">
          <a:solidFill>
            <a:schemeClr val="accent1">
              <a:shade val="15000"/>
              <a:alpha val="8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345015</xdr:colOff>
      <xdr:row>16</xdr:row>
      <xdr:rowOff>80435</xdr:rowOff>
    </xdr:from>
    <xdr:to>
      <xdr:col>11</xdr:col>
      <xdr:colOff>299860</xdr:colOff>
      <xdr:row>23</xdr:row>
      <xdr:rowOff>40217</xdr:rowOff>
    </xdr:to>
    <xdr:sp macro="" textlink="">
      <xdr:nvSpPr>
        <xdr:cNvPr id="21" name="Rectangle: Rounded Corners 20">
          <a:extLst>
            <a:ext uri="{FF2B5EF4-FFF2-40B4-BE49-F238E27FC236}">
              <a16:creationId xmlns:a16="http://schemas.microsoft.com/office/drawing/2014/main" id="{4B7EDD24-6C5F-4B81-9BE5-C7AF23DC9E4F}"/>
            </a:ext>
          </a:extLst>
        </xdr:cNvPr>
        <xdr:cNvSpPr/>
      </xdr:nvSpPr>
      <xdr:spPr>
        <a:xfrm>
          <a:off x="4666543" y="3184879"/>
          <a:ext cx="2424289" cy="1317977"/>
        </a:xfrm>
        <a:prstGeom prst="roundRect">
          <a:avLst/>
        </a:prstGeom>
        <a:solidFill>
          <a:srgbClr val="F0F4F6">
            <a:alpha val="90980"/>
          </a:srgbClr>
        </a:solidFill>
        <a:ln w="12700">
          <a:solidFill>
            <a:schemeClr val="accent1">
              <a:shade val="15000"/>
              <a:alpha val="8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373944</xdr:colOff>
      <xdr:row>9</xdr:row>
      <xdr:rowOff>109361</xdr:rowOff>
    </xdr:from>
    <xdr:to>
      <xdr:col>11</xdr:col>
      <xdr:colOff>282221</xdr:colOff>
      <xdr:row>16</xdr:row>
      <xdr:rowOff>69144</xdr:rowOff>
    </xdr:to>
    <xdr:sp macro="" textlink="">
      <xdr:nvSpPr>
        <xdr:cNvPr id="22" name="Rectangle: Rounded Corners 21">
          <a:extLst>
            <a:ext uri="{FF2B5EF4-FFF2-40B4-BE49-F238E27FC236}">
              <a16:creationId xmlns:a16="http://schemas.microsoft.com/office/drawing/2014/main" id="{C2D6F2CE-16F3-41E7-BA15-FD05B7C10874}"/>
            </a:ext>
          </a:extLst>
        </xdr:cNvPr>
        <xdr:cNvSpPr/>
      </xdr:nvSpPr>
      <xdr:spPr>
        <a:xfrm>
          <a:off x="4695472" y="1855611"/>
          <a:ext cx="2377721" cy="1317977"/>
        </a:xfrm>
        <a:prstGeom prst="roundRect">
          <a:avLst/>
        </a:prstGeom>
        <a:solidFill>
          <a:srgbClr val="F0F4F6">
            <a:alpha val="90980"/>
          </a:srgbClr>
        </a:solidFill>
        <a:ln w="12700">
          <a:solidFill>
            <a:schemeClr val="accent1">
              <a:shade val="15000"/>
              <a:alpha val="8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440972</xdr:colOff>
      <xdr:row>4</xdr:row>
      <xdr:rowOff>176389</xdr:rowOff>
    </xdr:from>
    <xdr:to>
      <xdr:col>20</xdr:col>
      <xdr:colOff>229306</xdr:colOff>
      <xdr:row>7</xdr:row>
      <xdr:rowOff>123473</xdr:rowOff>
    </xdr:to>
    <xdr:sp macro="" textlink="">
      <xdr:nvSpPr>
        <xdr:cNvPr id="4" name="TextBox 3">
          <a:extLst>
            <a:ext uri="{FF2B5EF4-FFF2-40B4-BE49-F238E27FC236}">
              <a16:creationId xmlns:a16="http://schemas.microsoft.com/office/drawing/2014/main" id="{B4965C07-629B-635C-3F6D-55348682111E}"/>
            </a:ext>
          </a:extLst>
        </xdr:cNvPr>
        <xdr:cNvSpPr txBox="1"/>
      </xdr:nvSpPr>
      <xdr:spPr>
        <a:xfrm>
          <a:off x="4762500" y="952500"/>
          <a:ext cx="7814028" cy="52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385F7C"/>
              </a:solidFill>
            </a:rPr>
            <a:t>SHOP TRACK</a:t>
          </a:r>
          <a:r>
            <a:rPr lang="en-US" sz="2800" baseline="0">
              <a:solidFill>
                <a:srgbClr val="385F7C"/>
              </a:solidFill>
            </a:rPr>
            <a:t> </a:t>
          </a:r>
          <a:r>
            <a:rPr lang="en-US" sz="2800">
              <a:solidFill>
                <a:srgbClr val="385F7C"/>
              </a:solidFill>
            </a:rPr>
            <a:t>SALES AND OPERATIONS</a:t>
          </a:r>
        </a:p>
      </xdr:txBody>
    </xdr:sp>
    <xdr:clientData/>
  </xdr:twoCellAnchor>
  <xdr:twoCellAnchor>
    <xdr:from>
      <xdr:col>8</xdr:col>
      <xdr:colOff>317500</xdr:colOff>
      <xdr:row>10</xdr:row>
      <xdr:rowOff>35277</xdr:rowOff>
    </xdr:from>
    <xdr:to>
      <xdr:col>10</xdr:col>
      <xdr:colOff>599721</xdr:colOff>
      <xdr:row>12</xdr:row>
      <xdr:rowOff>88196</xdr:rowOff>
    </xdr:to>
    <xdr:sp macro="" textlink="">
      <xdr:nvSpPr>
        <xdr:cNvPr id="5" name="TextBox 4">
          <a:extLst>
            <a:ext uri="{FF2B5EF4-FFF2-40B4-BE49-F238E27FC236}">
              <a16:creationId xmlns:a16="http://schemas.microsoft.com/office/drawing/2014/main" id="{671FD9AC-832D-AF60-B577-0E42E19F0927}"/>
            </a:ext>
          </a:extLst>
        </xdr:cNvPr>
        <xdr:cNvSpPr txBox="1"/>
      </xdr:nvSpPr>
      <xdr:spPr>
        <a:xfrm>
          <a:off x="5256389" y="1975555"/>
          <a:ext cx="1516943" cy="440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Total</a:t>
          </a:r>
          <a:r>
            <a:rPr lang="en-US" sz="1600" baseline="0"/>
            <a:t> Revenue</a:t>
          </a:r>
          <a:endParaRPr lang="en-US" sz="1600"/>
        </a:p>
      </xdr:txBody>
    </xdr:sp>
    <xdr:clientData/>
  </xdr:twoCellAnchor>
  <xdr:twoCellAnchor>
    <xdr:from>
      <xdr:col>12</xdr:col>
      <xdr:colOff>117123</xdr:colOff>
      <xdr:row>10</xdr:row>
      <xdr:rowOff>17639</xdr:rowOff>
    </xdr:from>
    <xdr:to>
      <xdr:col>14</xdr:col>
      <xdr:colOff>246943</xdr:colOff>
      <xdr:row>12</xdr:row>
      <xdr:rowOff>0</xdr:rowOff>
    </xdr:to>
    <xdr:sp macro="" textlink="">
      <xdr:nvSpPr>
        <xdr:cNvPr id="7" name="TextBox 6">
          <a:extLst>
            <a:ext uri="{FF2B5EF4-FFF2-40B4-BE49-F238E27FC236}">
              <a16:creationId xmlns:a16="http://schemas.microsoft.com/office/drawing/2014/main" id="{B27785E5-FD7F-49A3-9B98-7FAFD2C66EC3}"/>
            </a:ext>
          </a:extLst>
        </xdr:cNvPr>
        <xdr:cNvSpPr txBox="1"/>
      </xdr:nvSpPr>
      <xdr:spPr>
        <a:xfrm>
          <a:off x="7525456" y="1957917"/>
          <a:ext cx="1364543" cy="37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Total</a:t>
          </a:r>
          <a:r>
            <a:rPr lang="en-US" sz="1600" baseline="0"/>
            <a:t> Orders</a:t>
          </a:r>
          <a:endParaRPr lang="en-US" sz="1600"/>
        </a:p>
      </xdr:txBody>
    </xdr:sp>
    <xdr:clientData/>
  </xdr:twoCellAnchor>
  <xdr:twoCellAnchor>
    <xdr:from>
      <xdr:col>12</xdr:col>
      <xdr:colOff>392995</xdr:colOff>
      <xdr:row>16</xdr:row>
      <xdr:rowOff>163689</xdr:rowOff>
    </xdr:from>
    <xdr:to>
      <xdr:col>13</xdr:col>
      <xdr:colOff>582083</xdr:colOff>
      <xdr:row>18</xdr:row>
      <xdr:rowOff>176389</xdr:rowOff>
    </xdr:to>
    <xdr:sp macro="" textlink="">
      <xdr:nvSpPr>
        <xdr:cNvPr id="8" name="TextBox 7">
          <a:extLst>
            <a:ext uri="{FF2B5EF4-FFF2-40B4-BE49-F238E27FC236}">
              <a16:creationId xmlns:a16="http://schemas.microsoft.com/office/drawing/2014/main" id="{5533AA53-30FC-4473-B5D6-9C7A2BA86953}"/>
            </a:ext>
          </a:extLst>
        </xdr:cNvPr>
        <xdr:cNvSpPr txBox="1"/>
      </xdr:nvSpPr>
      <xdr:spPr>
        <a:xfrm>
          <a:off x="7801328" y="3268133"/>
          <a:ext cx="806449" cy="400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AOV</a:t>
          </a:r>
        </a:p>
      </xdr:txBody>
    </xdr:sp>
    <xdr:clientData/>
  </xdr:twoCellAnchor>
  <xdr:twoCellAnchor>
    <xdr:from>
      <xdr:col>8</xdr:col>
      <xdr:colOff>194027</xdr:colOff>
      <xdr:row>16</xdr:row>
      <xdr:rowOff>158749</xdr:rowOff>
    </xdr:from>
    <xdr:to>
      <xdr:col>10</xdr:col>
      <xdr:colOff>582083</xdr:colOff>
      <xdr:row>19</xdr:row>
      <xdr:rowOff>105832</xdr:rowOff>
    </xdr:to>
    <xdr:sp macro="" textlink="">
      <xdr:nvSpPr>
        <xdr:cNvPr id="9" name="TextBox 8">
          <a:extLst>
            <a:ext uri="{FF2B5EF4-FFF2-40B4-BE49-F238E27FC236}">
              <a16:creationId xmlns:a16="http://schemas.microsoft.com/office/drawing/2014/main" id="{FC67D8FE-6D6D-4F1F-9C21-BF5B307656CA}"/>
            </a:ext>
          </a:extLst>
        </xdr:cNvPr>
        <xdr:cNvSpPr txBox="1"/>
      </xdr:nvSpPr>
      <xdr:spPr>
        <a:xfrm>
          <a:off x="5132916" y="3263193"/>
          <a:ext cx="1622778" cy="52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Total</a:t>
          </a:r>
          <a:r>
            <a:rPr lang="en-US" sz="1600" baseline="0"/>
            <a:t> Quantity</a:t>
          </a:r>
          <a:endParaRPr lang="en-US" sz="1600"/>
        </a:p>
      </xdr:txBody>
    </xdr:sp>
    <xdr:clientData/>
  </xdr:twoCellAnchor>
  <xdr:twoCellAnchor>
    <xdr:from>
      <xdr:col>15</xdr:col>
      <xdr:colOff>564444</xdr:colOff>
      <xdr:row>9</xdr:row>
      <xdr:rowOff>176389</xdr:rowOff>
    </xdr:from>
    <xdr:to>
      <xdr:col>19</xdr:col>
      <xdr:colOff>158750</xdr:colOff>
      <xdr:row>11</xdr:row>
      <xdr:rowOff>123472</xdr:rowOff>
    </xdr:to>
    <xdr:sp macro="" textlink="">
      <xdr:nvSpPr>
        <xdr:cNvPr id="14" name="TextBox 13">
          <a:extLst>
            <a:ext uri="{FF2B5EF4-FFF2-40B4-BE49-F238E27FC236}">
              <a16:creationId xmlns:a16="http://schemas.microsoft.com/office/drawing/2014/main" id="{7F2B29B0-9C3A-4A08-8439-FAEE3F885C02}"/>
            </a:ext>
          </a:extLst>
        </xdr:cNvPr>
        <xdr:cNvSpPr txBox="1"/>
      </xdr:nvSpPr>
      <xdr:spPr>
        <a:xfrm>
          <a:off x="9824861" y="1922639"/>
          <a:ext cx="2063750" cy="335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1">
                  <a:lumMod val="75000"/>
                </a:schemeClr>
              </a:solidFill>
            </a:rPr>
            <a:t>Revenue By Region</a:t>
          </a:r>
        </a:p>
      </xdr:txBody>
    </xdr:sp>
    <xdr:clientData/>
  </xdr:twoCellAnchor>
  <xdr:twoCellAnchor>
    <xdr:from>
      <xdr:col>23</xdr:col>
      <xdr:colOff>405693</xdr:colOff>
      <xdr:row>9</xdr:row>
      <xdr:rowOff>123471</xdr:rowOff>
    </xdr:from>
    <xdr:to>
      <xdr:col>28</xdr:col>
      <xdr:colOff>388056</xdr:colOff>
      <xdr:row>11</xdr:row>
      <xdr:rowOff>70554</xdr:rowOff>
    </xdr:to>
    <xdr:sp macro="" textlink="">
      <xdr:nvSpPr>
        <xdr:cNvPr id="15" name="TextBox 14">
          <a:extLst>
            <a:ext uri="{FF2B5EF4-FFF2-40B4-BE49-F238E27FC236}">
              <a16:creationId xmlns:a16="http://schemas.microsoft.com/office/drawing/2014/main" id="{6BF30D2A-A389-47D3-9583-2A261A75AB3E}"/>
            </a:ext>
          </a:extLst>
        </xdr:cNvPr>
        <xdr:cNvSpPr txBox="1"/>
      </xdr:nvSpPr>
      <xdr:spPr>
        <a:xfrm>
          <a:off x="14604999" y="1869721"/>
          <a:ext cx="3069168" cy="335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385F7C"/>
              </a:solidFill>
            </a:rPr>
            <a:t>Revenue By Product Category</a:t>
          </a:r>
        </a:p>
      </xdr:txBody>
    </xdr:sp>
    <xdr:clientData/>
  </xdr:twoCellAnchor>
  <xdr:twoCellAnchor>
    <xdr:from>
      <xdr:col>15</xdr:col>
      <xdr:colOff>582082</xdr:colOff>
      <xdr:row>24</xdr:row>
      <xdr:rowOff>158751</xdr:rowOff>
    </xdr:from>
    <xdr:to>
      <xdr:col>20</xdr:col>
      <xdr:colOff>88195</xdr:colOff>
      <xdr:row>26</xdr:row>
      <xdr:rowOff>141112</xdr:rowOff>
    </xdr:to>
    <xdr:sp macro="" textlink="">
      <xdr:nvSpPr>
        <xdr:cNvPr id="16" name="TextBox 15">
          <a:extLst>
            <a:ext uri="{FF2B5EF4-FFF2-40B4-BE49-F238E27FC236}">
              <a16:creationId xmlns:a16="http://schemas.microsoft.com/office/drawing/2014/main" id="{9E22A78C-C12C-453D-BF35-F2256FDE0F32}"/>
            </a:ext>
          </a:extLst>
        </xdr:cNvPr>
        <xdr:cNvSpPr txBox="1"/>
      </xdr:nvSpPr>
      <xdr:spPr>
        <a:xfrm>
          <a:off x="9842499" y="4815418"/>
          <a:ext cx="2592918" cy="37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385F7C"/>
              </a:solidFill>
            </a:rPr>
            <a:t>Monthly Revenue Trend</a:t>
          </a:r>
        </a:p>
      </xdr:txBody>
    </xdr:sp>
    <xdr:clientData/>
  </xdr:twoCellAnchor>
  <xdr:twoCellAnchor>
    <xdr:from>
      <xdr:col>7</xdr:col>
      <xdr:colOff>476249</xdr:colOff>
      <xdr:row>23</xdr:row>
      <xdr:rowOff>158750</xdr:rowOff>
    </xdr:from>
    <xdr:to>
      <xdr:col>12</xdr:col>
      <xdr:colOff>229306</xdr:colOff>
      <xdr:row>25</xdr:row>
      <xdr:rowOff>70557</xdr:rowOff>
    </xdr:to>
    <xdr:sp macro="" textlink="">
      <xdr:nvSpPr>
        <xdr:cNvPr id="17" name="TextBox 16">
          <a:extLst>
            <a:ext uri="{FF2B5EF4-FFF2-40B4-BE49-F238E27FC236}">
              <a16:creationId xmlns:a16="http://schemas.microsoft.com/office/drawing/2014/main" id="{07484619-B413-4349-BE0E-44ED34944C6B}"/>
            </a:ext>
          </a:extLst>
        </xdr:cNvPr>
        <xdr:cNvSpPr txBox="1"/>
      </xdr:nvSpPr>
      <xdr:spPr>
        <a:xfrm>
          <a:off x="4797777" y="4621389"/>
          <a:ext cx="2839862" cy="299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385F7C"/>
              </a:solidFill>
            </a:rPr>
            <a:t>Top 10 Customers By Revenue</a:t>
          </a:r>
        </a:p>
      </xdr:txBody>
    </xdr:sp>
    <xdr:clientData/>
  </xdr:twoCellAnchor>
  <xdr:twoCellAnchor>
    <xdr:from>
      <xdr:col>7</xdr:col>
      <xdr:colOff>440972</xdr:colOff>
      <xdr:row>13</xdr:row>
      <xdr:rowOff>123472</xdr:rowOff>
    </xdr:from>
    <xdr:to>
      <xdr:col>10</xdr:col>
      <xdr:colOff>546806</xdr:colOff>
      <xdr:row>16</xdr:row>
      <xdr:rowOff>17640</xdr:rowOff>
    </xdr:to>
    <xdr:sp macro="" textlink="">
      <xdr:nvSpPr>
        <xdr:cNvPr id="19" name="TextBox 18">
          <a:extLst>
            <a:ext uri="{FF2B5EF4-FFF2-40B4-BE49-F238E27FC236}">
              <a16:creationId xmlns:a16="http://schemas.microsoft.com/office/drawing/2014/main" id="{CF56E73E-48F3-2753-F715-E23DCF71BFAD}"/>
            </a:ext>
          </a:extLst>
        </xdr:cNvPr>
        <xdr:cNvSpPr txBox="1"/>
      </xdr:nvSpPr>
      <xdr:spPr>
        <a:xfrm>
          <a:off x="4762500" y="2645833"/>
          <a:ext cx="1957917"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dk1"/>
              </a:solidFill>
              <a:effectLst/>
              <a:latin typeface="+mn-lt"/>
              <a:ea typeface="+mn-ea"/>
              <a:cs typeface="+mn-cs"/>
            </a:rPr>
            <a:t> $        750,860,235 </a:t>
          </a:r>
          <a:endParaRPr lang="en-US" sz="1800"/>
        </a:p>
      </xdr:txBody>
    </xdr:sp>
    <xdr:clientData/>
  </xdr:twoCellAnchor>
  <xdr:twoCellAnchor>
    <xdr:from>
      <xdr:col>11</xdr:col>
      <xdr:colOff>282224</xdr:colOff>
      <xdr:row>19</xdr:row>
      <xdr:rowOff>123473</xdr:rowOff>
    </xdr:from>
    <xdr:to>
      <xdr:col>14</xdr:col>
      <xdr:colOff>335140</xdr:colOff>
      <xdr:row>22</xdr:row>
      <xdr:rowOff>123474</xdr:rowOff>
    </xdr:to>
    <xdr:sp macro="" textlink="">
      <xdr:nvSpPr>
        <xdr:cNvPr id="23" name="TextBox 22">
          <a:extLst>
            <a:ext uri="{FF2B5EF4-FFF2-40B4-BE49-F238E27FC236}">
              <a16:creationId xmlns:a16="http://schemas.microsoft.com/office/drawing/2014/main" id="{E8A5F021-D415-479C-914A-4B2C837ADF58}"/>
            </a:ext>
          </a:extLst>
        </xdr:cNvPr>
        <xdr:cNvSpPr txBox="1"/>
      </xdr:nvSpPr>
      <xdr:spPr>
        <a:xfrm>
          <a:off x="7073196" y="3810001"/>
          <a:ext cx="1905000" cy="582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chemeClr val="dk1"/>
              </a:solidFill>
              <a:effectLst/>
              <a:latin typeface="+mn-lt"/>
              <a:ea typeface="+mn-ea"/>
              <a:cs typeface="+mn-cs"/>
            </a:rPr>
            <a:t> </a:t>
          </a:r>
          <a:r>
            <a:rPr lang="en-US" sz="1600" b="0" i="0" u="none" strike="noStrike">
              <a:solidFill>
                <a:schemeClr val="dk1"/>
              </a:solidFill>
              <a:effectLst/>
              <a:latin typeface="+mn-lt"/>
              <a:ea typeface="+mn-ea"/>
              <a:cs typeface="+mn-cs"/>
            </a:rPr>
            <a:t> $          1,226,896 </a:t>
          </a:r>
          <a:endParaRPr lang="en-US" sz="2800"/>
        </a:p>
      </xdr:txBody>
    </xdr:sp>
    <xdr:clientData/>
  </xdr:twoCellAnchor>
  <xdr:twoCellAnchor>
    <xdr:from>
      <xdr:col>8</xdr:col>
      <xdr:colOff>493890</xdr:colOff>
      <xdr:row>20</xdr:row>
      <xdr:rowOff>57855</xdr:rowOff>
    </xdr:from>
    <xdr:to>
      <xdr:col>10</xdr:col>
      <xdr:colOff>88196</xdr:colOff>
      <xdr:row>22</xdr:row>
      <xdr:rowOff>146051</xdr:rowOff>
    </xdr:to>
    <xdr:sp macro="" textlink="">
      <xdr:nvSpPr>
        <xdr:cNvPr id="24" name="TextBox 23">
          <a:extLst>
            <a:ext uri="{FF2B5EF4-FFF2-40B4-BE49-F238E27FC236}">
              <a16:creationId xmlns:a16="http://schemas.microsoft.com/office/drawing/2014/main" id="{B28F9304-D13B-40BC-9B90-27D6441E8300}"/>
            </a:ext>
          </a:extLst>
        </xdr:cNvPr>
        <xdr:cNvSpPr txBox="1"/>
      </xdr:nvSpPr>
      <xdr:spPr>
        <a:xfrm>
          <a:off x="5432779" y="3938411"/>
          <a:ext cx="829028"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dk1"/>
              </a:solidFill>
              <a:effectLst/>
              <a:latin typeface="+mn-lt"/>
              <a:ea typeface="+mn-ea"/>
              <a:cs typeface="+mn-cs"/>
            </a:rPr>
            <a:t> 6350 </a:t>
          </a:r>
          <a:endParaRPr lang="en-US" sz="1800"/>
        </a:p>
      </xdr:txBody>
    </xdr:sp>
    <xdr:clientData/>
  </xdr:twoCellAnchor>
  <xdr:twoCellAnchor>
    <xdr:from>
      <xdr:col>12</xdr:col>
      <xdr:colOff>299863</xdr:colOff>
      <xdr:row>13</xdr:row>
      <xdr:rowOff>33865</xdr:rowOff>
    </xdr:from>
    <xdr:to>
      <xdr:col>13</xdr:col>
      <xdr:colOff>493890</xdr:colOff>
      <xdr:row>15</xdr:row>
      <xdr:rowOff>122060</xdr:rowOff>
    </xdr:to>
    <xdr:sp macro="" textlink="">
      <xdr:nvSpPr>
        <xdr:cNvPr id="25" name="TextBox 24">
          <a:extLst>
            <a:ext uri="{FF2B5EF4-FFF2-40B4-BE49-F238E27FC236}">
              <a16:creationId xmlns:a16="http://schemas.microsoft.com/office/drawing/2014/main" id="{3F038B39-5591-4DC9-A76B-B3074E880BBB}"/>
            </a:ext>
          </a:extLst>
        </xdr:cNvPr>
        <xdr:cNvSpPr txBox="1"/>
      </xdr:nvSpPr>
      <xdr:spPr>
        <a:xfrm>
          <a:off x="7708196" y="2556226"/>
          <a:ext cx="811388"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chemeClr val="dk1"/>
              </a:solidFill>
              <a:effectLst/>
              <a:latin typeface="+mn-lt"/>
              <a:ea typeface="+mn-ea"/>
              <a:cs typeface="+mn-cs"/>
            </a:rPr>
            <a:t> </a:t>
          </a:r>
          <a:r>
            <a:rPr lang="en-US" sz="1600" b="0" i="0" u="none" strike="noStrike">
              <a:solidFill>
                <a:schemeClr val="dk1"/>
              </a:solidFill>
              <a:effectLst/>
              <a:latin typeface="+mn-lt"/>
              <a:ea typeface="+mn-ea"/>
              <a:cs typeface="+mn-cs"/>
            </a:rPr>
            <a:t>612</a:t>
          </a:r>
          <a:r>
            <a:rPr lang="en-US" sz="2800">
              <a:effectLst/>
            </a:rPr>
            <a:t> </a:t>
          </a:r>
          <a:endParaRPr lang="en-US" sz="2800"/>
        </a:p>
      </xdr:txBody>
    </xdr:sp>
    <xdr:clientData/>
  </xdr:twoCellAnchor>
  <xdr:twoCellAnchor>
    <xdr:from>
      <xdr:col>23</xdr:col>
      <xdr:colOff>299861</xdr:colOff>
      <xdr:row>11</xdr:row>
      <xdr:rowOff>70555</xdr:rowOff>
    </xdr:from>
    <xdr:to>
      <xdr:col>30</xdr:col>
      <xdr:colOff>550334</xdr:colOff>
      <xdr:row>24</xdr:row>
      <xdr:rowOff>141111</xdr:rowOff>
    </xdr:to>
    <xdr:graphicFrame macro="">
      <xdr:nvGraphicFramePr>
        <xdr:cNvPr id="26" name="Chart 25">
          <a:extLst>
            <a:ext uri="{FF2B5EF4-FFF2-40B4-BE49-F238E27FC236}">
              <a16:creationId xmlns:a16="http://schemas.microsoft.com/office/drawing/2014/main" id="{B1E451B5-7DEF-4ACC-A1E4-5B05BBE0D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582083</xdr:colOff>
      <xdr:row>11</xdr:row>
      <xdr:rowOff>52918</xdr:rowOff>
    </xdr:from>
    <xdr:to>
      <xdr:col>22</xdr:col>
      <xdr:colOff>599723</xdr:colOff>
      <xdr:row>24</xdr:row>
      <xdr:rowOff>17639</xdr:rowOff>
    </xdr:to>
    <xdr:graphicFrame macro="">
      <xdr:nvGraphicFramePr>
        <xdr:cNvPr id="27" name="Chart 26">
          <a:extLst>
            <a:ext uri="{FF2B5EF4-FFF2-40B4-BE49-F238E27FC236}">
              <a16:creationId xmlns:a16="http://schemas.microsoft.com/office/drawing/2014/main" id="{2880E1D9-717F-4038-A842-3E7CA2390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511526</xdr:colOff>
      <xdr:row>26</xdr:row>
      <xdr:rowOff>123471</xdr:rowOff>
    </xdr:from>
    <xdr:to>
      <xdr:col>23</xdr:col>
      <xdr:colOff>38804</xdr:colOff>
      <xdr:row>40</xdr:row>
      <xdr:rowOff>35278</xdr:rowOff>
    </xdr:to>
    <xdr:graphicFrame macro="">
      <xdr:nvGraphicFramePr>
        <xdr:cNvPr id="28" name="Chart 27">
          <a:extLst>
            <a:ext uri="{FF2B5EF4-FFF2-40B4-BE49-F238E27FC236}">
              <a16:creationId xmlns:a16="http://schemas.microsoft.com/office/drawing/2014/main" id="{A4C5CA1E-F931-434C-A74C-229E79A70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352778</xdr:colOff>
      <xdr:row>25</xdr:row>
      <xdr:rowOff>105834</xdr:rowOff>
    </xdr:from>
    <xdr:to>
      <xdr:col>15</xdr:col>
      <xdr:colOff>194027</xdr:colOff>
      <xdr:row>40</xdr:row>
      <xdr:rowOff>79729</xdr:rowOff>
    </xdr:to>
    <xdr:graphicFrame macro="">
      <xdr:nvGraphicFramePr>
        <xdr:cNvPr id="29" name="Chart 28">
          <a:extLst>
            <a:ext uri="{FF2B5EF4-FFF2-40B4-BE49-F238E27FC236}">
              <a16:creationId xmlns:a16="http://schemas.microsoft.com/office/drawing/2014/main" id="{49493E1C-1199-4953-A4F3-3974CA926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317500</xdr:colOff>
      <xdr:row>26</xdr:row>
      <xdr:rowOff>70557</xdr:rowOff>
    </xdr:from>
    <xdr:to>
      <xdr:col>30</xdr:col>
      <xdr:colOff>567973</xdr:colOff>
      <xdr:row>40</xdr:row>
      <xdr:rowOff>97368</xdr:rowOff>
    </xdr:to>
    <xdr:graphicFrame macro="">
      <xdr:nvGraphicFramePr>
        <xdr:cNvPr id="30" name="Chart 29">
          <a:extLst>
            <a:ext uri="{FF2B5EF4-FFF2-40B4-BE49-F238E27FC236}">
              <a16:creationId xmlns:a16="http://schemas.microsoft.com/office/drawing/2014/main" id="{C10A1F91-561B-49BC-AEB8-53D54D874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440971</xdr:colOff>
      <xdr:row>24</xdr:row>
      <xdr:rowOff>158750</xdr:rowOff>
    </xdr:from>
    <xdr:to>
      <xdr:col>26</xdr:col>
      <xdr:colOff>70555</xdr:colOff>
      <xdr:row>26</xdr:row>
      <xdr:rowOff>105833</xdr:rowOff>
    </xdr:to>
    <xdr:sp macro="" textlink="">
      <xdr:nvSpPr>
        <xdr:cNvPr id="31" name="TextBox 30">
          <a:extLst>
            <a:ext uri="{FF2B5EF4-FFF2-40B4-BE49-F238E27FC236}">
              <a16:creationId xmlns:a16="http://schemas.microsoft.com/office/drawing/2014/main" id="{2CD1FC38-7AB3-2A36-567B-861894B40177}"/>
            </a:ext>
          </a:extLst>
        </xdr:cNvPr>
        <xdr:cNvSpPr txBox="1"/>
      </xdr:nvSpPr>
      <xdr:spPr>
        <a:xfrm>
          <a:off x="14640277" y="4815417"/>
          <a:ext cx="1481667" cy="335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385F7C"/>
              </a:solidFill>
            </a:rPr>
            <a:t>Order Status</a:t>
          </a:r>
        </a:p>
      </xdr:txBody>
    </xdr:sp>
    <xdr:clientData/>
  </xdr:twoCellAnchor>
  <xdr:twoCellAnchor>
    <xdr:from>
      <xdr:col>7</xdr:col>
      <xdr:colOff>405694</xdr:colOff>
      <xdr:row>7</xdr:row>
      <xdr:rowOff>52917</xdr:rowOff>
    </xdr:from>
    <xdr:to>
      <xdr:col>18</xdr:col>
      <xdr:colOff>317500</xdr:colOff>
      <xdr:row>8</xdr:row>
      <xdr:rowOff>176389</xdr:rowOff>
    </xdr:to>
    <xdr:sp macro="" textlink="">
      <xdr:nvSpPr>
        <xdr:cNvPr id="32" name="TextBox 31">
          <a:extLst>
            <a:ext uri="{FF2B5EF4-FFF2-40B4-BE49-F238E27FC236}">
              <a16:creationId xmlns:a16="http://schemas.microsoft.com/office/drawing/2014/main" id="{7D4B206A-C642-AE2E-B4F8-F4314D42E99C}"/>
            </a:ext>
          </a:extLst>
        </xdr:cNvPr>
        <xdr:cNvSpPr txBox="1"/>
      </xdr:nvSpPr>
      <xdr:spPr>
        <a:xfrm>
          <a:off x="4727222" y="1411111"/>
          <a:ext cx="6702778"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1"/>
              </a:solidFill>
            </a:rPr>
            <a:t>Analyzing Revenue, Customer</a:t>
          </a:r>
          <a:r>
            <a:rPr lang="en-US" sz="1400" baseline="0">
              <a:solidFill>
                <a:schemeClr val="accent1"/>
              </a:solidFill>
            </a:rPr>
            <a:t> Activity, Product Performance and Delivery Operations</a:t>
          </a:r>
          <a:endParaRPr lang="en-US" sz="1400">
            <a:solidFill>
              <a:schemeClr val="accent1"/>
            </a:solidFill>
          </a:endParaRPr>
        </a:p>
      </xdr:txBody>
    </xdr:sp>
    <xdr:clientData/>
  </xdr:twoCellAnchor>
  <xdr:twoCellAnchor editAs="oneCell">
    <xdr:from>
      <xdr:col>20</xdr:col>
      <xdr:colOff>440972</xdr:colOff>
      <xdr:row>5</xdr:row>
      <xdr:rowOff>17639</xdr:rowOff>
    </xdr:from>
    <xdr:to>
      <xdr:col>30</xdr:col>
      <xdr:colOff>546806</xdr:colOff>
      <xdr:row>8</xdr:row>
      <xdr:rowOff>149931</xdr:rowOff>
    </xdr:to>
    <mc:AlternateContent xmlns:mc="http://schemas.openxmlformats.org/markup-compatibility/2006" xmlns:a14="http://schemas.microsoft.com/office/drawing/2010/main">
      <mc:Choice Requires="a14">
        <xdr:graphicFrame macro="">
          <xdr:nvGraphicFramePr>
            <xdr:cNvPr id="34" name="Region">
              <a:extLst>
                <a:ext uri="{FF2B5EF4-FFF2-40B4-BE49-F238E27FC236}">
                  <a16:creationId xmlns:a16="http://schemas.microsoft.com/office/drawing/2014/main" id="{FABADAAE-DCB9-4A3E-814C-48C80DEF6F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63699" y="945399"/>
              <a:ext cx="6167198" cy="688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185552</xdr:colOff>
      <xdr:row>5</xdr:row>
      <xdr:rowOff>12370</xdr:rowOff>
    </xdr:from>
    <xdr:to>
      <xdr:col>6</xdr:col>
      <xdr:colOff>111331</xdr:colOff>
      <xdr:row>8</xdr:row>
      <xdr:rowOff>98961</xdr:rowOff>
    </xdr:to>
    <xdr:sp macro="" textlink="">
      <xdr:nvSpPr>
        <xdr:cNvPr id="35" name="TextBox 34">
          <a:extLst>
            <a:ext uri="{FF2B5EF4-FFF2-40B4-BE49-F238E27FC236}">
              <a16:creationId xmlns:a16="http://schemas.microsoft.com/office/drawing/2014/main" id="{5487B927-76E7-9F9E-0FF8-0F02A70039D3}"/>
            </a:ext>
          </a:extLst>
        </xdr:cNvPr>
        <xdr:cNvSpPr txBox="1"/>
      </xdr:nvSpPr>
      <xdr:spPr>
        <a:xfrm>
          <a:off x="3216234" y="940130"/>
          <a:ext cx="915389" cy="6432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7.462957407406" createdVersion="8" refreshedVersion="8" minRefreshableVersion="3" recordCount="612" xr:uid="{8AA1708A-BF62-47B3-803F-9315E539A2FC}">
  <cacheSource type="worksheet">
    <worksheetSource name="Table1"/>
  </cacheSource>
  <cacheFields count="16">
    <cacheField name="Order ID" numFmtId="0">
      <sharedItems/>
    </cacheField>
    <cacheField name="Customer Name" numFmtId="0">
      <sharedItems count="22">
        <s v="Unknown"/>
        <s v="Bola Tinubu"/>
        <s v="Fatima Bello"/>
        <s v="Wale Adeniji"/>
        <s v="Ngozi Adeyemi"/>
        <s v="Kemi Adebayo"/>
        <s v="Ade Coker"/>
        <s v="Aisha Garba"/>
        <s v="Yemi Fashola"/>
        <s v="Remi Olawale"/>
        <s v="Uche Obiora"/>
        <s v="Sola Oduya"/>
        <s v="Chidi Eze"/>
        <s v="Ibrahim Musa"/>
        <s v="Amara Okafor"/>
        <s v="Musa Aliyu"/>
        <s v="Tunde Afolabi"/>
        <s v="Seun Kuti"/>
        <s v="Hauwa Danjuma"/>
        <s v="Emeka Nwosu"/>
        <s v="Chioma Obi"/>
        <s v="N/A" u="1"/>
      </sharedItems>
    </cacheField>
    <cacheField name="Product" numFmtId="0">
      <sharedItems count="10">
        <s v="Speaker"/>
        <s v="Printer"/>
        <s v="Tablet"/>
        <s v="Headphones"/>
        <s v="Keyboard"/>
        <s v="Monitor"/>
        <s v="Camera"/>
        <s v="Laptop"/>
        <s v="Mouse"/>
        <s v="Phone"/>
      </sharedItems>
    </cacheField>
    <cacheField name="Category" numFmtId="0">
      <sharedItems/>
    </cacheField>
    <cacheField name="Region" numFmtId="0">
      <sharedItems count="5">
        <s v="South"/>
        <s v="Central"/>
        <s v="East"/>
        <s v="North"/>
        <s v="West"/>
      </sharedItems>
    </cacheField>
    <cacheField name="City" numFmtId="0">
      <sharedItems/>
    </cacheField>
    <cacheField name="Quantity" numFmtId="0">
      <sharedItems containsSemiMixedTypes="0" containsString="0" containsNumber="1" containsInteger="1" minValue="1" maxValue="20"/>
    </cacheField>
    <cacheField name="Unit Price" numFmtId="0">
      <sharedItems containsSemiMixedTypes="0" containsString="0" containsNumber="1" minValue="5336" maxValue="1300486.6666666667"/>
    </cacheField>
    <cacheField name="Total Sales" numFmtId="0">
      <sharedItems containsSemiMixedTypes="0" containsString="0" containsNumber="1" containsInteger="1" minValue="6549" maxValue="9459701"/>
    </cacheField>
    <cacheField name="Discount" numFmtId="9">
      <sharedItems containsSemiMixedTypes="0" containsString="0" containsNumber="1" minValue="0" maxValue="0.20000000000000007"/>
    </cacheField>
    <cacheField name="Net Sales" numFmtId="1">
      <sharedItems containsSemiMixedTypes="0" containsString="0" containsNumber="1" minValue="6221.55" maxValue="8876087.5"/>
    </cacheField>
    <cacheField name="Payment Method" numFmtId="0">
      <sharedItems/>
    </cacheField>
    <cacheField name="Order Status" numFmtId="0">
      <sharedItems count="4">
        <s v="Cancelled"/>
        <s v="Refunded"/>
        <s v="Pending"/>
        <s v="Completed"/>
      </sharedItems>
    </cacheField>
    <cacheField name="Order Date" numFmtId="14">
      <sharedItems containsSemiMixedTypes="0" containsNonDate="0" containsDate="1" containsString="0" minDate="2023-01-02T00:00:00" maxDate="2023-12-26T00:00:00"/>
    </cacheField>
    <cacheField name="Month" numFmtId="14">
      <sharedItems count="12">
        <s v="Aug"/>
        <s v="Apr"/>
        <s v="Mar"/>
        <s v="Oct"/>
        <s v="Dec"/>
        <s v="May"/>
        <s v="Jul"/>
        <s v="Nov"/>
        <s v="Sep"/>
        <s v="Feb"/>
        <s v="Jun"/>
        <s v="Jan"/>
      </sharedItems>
    </cacheField>
    <cacheField name="Sales Rep" numFmtId="0">
      <sharedItems/>
    </cacheField>
  </cacheFields>
  <extLst>
    <ext xmlns:x14="http://schemas.microsoft.com/office/spreadsheetml/2009/9/main" uri="{725AE2AE-9491-48be-B2B4-4EB974FC3084}">
      <x14:pivotCacheDefinition pivotCacheId="1956241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2">
  <r>
    <s v="ORD-0498"/>
    <x v="0"/>
    <x v="0"/>
    <s v="Accessories"/>
    <x v="0"/>
    <s v="Benin"/>
    <n v="14"/>
    <n v="36504"/>
    <n v="511056"/>
    <n v="0.2"/>
    <n v="408844.79999999999"/>
    <s v="Transfer"/>
    <x v="0"/>
    <d v="2023-08-18T00:00:00"/>
    <x v="0"/>
    <s v="REP-03"/>
  </r>
  <r>
    <s v="ORD-0245"/>
    <x v="1"/>
    <x v="0"/>
    <s v="Accessories"/>
    <x v="1"/>
    <s v="Jos"/>
    <n v="5"/>
    <n v="50215"/>
    <n v="251075"/>
    <n v="0"/>
    <n v="251075"/>
    <s v="Transfer"/>
    <x v="1"/>
    <d v="2023-04-02T00:00:00"/>
    <x v="1"/>
    <s v="REP-03"/>
  </r>
  <r>
    <s v="ORD-0553"/>
    <x v="2"/>
    <x v="1"/>
    <s v="Electronics"/>
    <x v="2"/>
    <s v="Aba"/>
    <n v="4"/>
    <n v="68115"/>
    <n v="272460"/>
    <n v="0"/>
    <n v="272460"/>
    <s v="Transfer"/>
    <x v="1"/>
    <d v="2023-03-09T00:00:00"/>
    <x v="2"/>
    <s v="REP-09"/>
  </r>
  <r>
    <s v="ORD-0214"/>
    <x v="3"/>
    <x v="0"/>
    <s v="Accessories"/>
    <x v="3"/>
    <s v="Kano"/>
    <n v="3"/>
    <n v="29662"/>
    <n v="88986"/>
    <n v="0.19999999999999996"/>
    <n v="71188.800000000003"/>
    <s v="POS"/>
    <x v="2"/>
    <d v="2023-10-06T00:00:00"/>
    <x v="3"/>
    <s v="REP-01"/>
  </r>
  <r>
    <s v="ORD-0550"/>
    <x v="2"/>
    <x v="2"/>
    <s v="Electronics"/>
    <x v="4"/>
    <s v="Osogbo"/>
    <n v="14"/>
    <n v="22796"/>
    <n v="319144"/>
    <n v="0"/>
    <n v="319144"/>
    <s v="POS"/>
    <x v="1"/>
    <d v="2023-12-20T00:00:00"/>
    <x v="4"/>
    <s v="REP-07"/>
  </r>
  <r>
    <s v="ORD-0507"/>
    <x v="3"/>
    <x v="3"/>
    <s v="Accessories"/>
    <x v="1"/>
    <s v="Lokoja"/>
    <n v="18"/>
    <n v="56853"/>
    <n v="1023354"/>
    <n v="0"/>
    <n v="1023354"/>
    <s v="Cash"/>
    <x v="2"/>
    <d v="2023-05-15T00:00:00"/>
    <x v="5"/>
    <s v="REP-07"/>
  </r>
  <r>
    <s v="ORD-0528"/>
    <x v="1"/>
    <x v="4"/>
    <s v="Accessories"/>
    <x v="3"/>
    <s v="Kano"/>
    <n v="9"/>
    <n v="59246"/>
    <n v="533214"/>
    <n v="0"/>
    <n v="533214"/>
    <s v="Transfer"/>
    <x v="1"/>
    <d v="2023-07-05T00:00:00"/>
    <x v="6"/>
    <s v="REP-09"/>
  </r>
  <r>
    <s v="ORD-0078"/>
    <x v="4"/>
    <x v="5"/>
    <s v="Electronics"/>
    <x v="0"/>
    <s v="Benin"/>
    <n v="19"/>
    <n v="378529"/>
    <n v="7192051"/>
    <n v="0.15000000000000005"/>
    <n v="6113243.3499999996"/>
    <s v="Transfer"/>
    <x v="1"/>
    <d v="2023-11-06T00:00:00"/>
    <x v="7"/>
    <s v="REP-02"/>
  </r>
  <r>
    <s v="ORD-0532"/>
    <x v="5"/>
    <x v="6"/>
    <s v="Electronics"/>
    <x v="2"/>
    <s v="Onitsha"/>
    <n v="1"/>
    <n v="452807"/>
    <n v="452807"/>
    <n v="0.10000000000000002"/>
    <n v="407526.3"/>
    <s v="Card"/>
    <x v="2"/>
    <d v="2023-09-05T00:00:00"/>
    <x v="8"/>
    <s v="REP-09"/>
  </r>
  <r>
    <s v="ORD-0146"/>
    <x v="6"/>
    <x v="7"/>
    <s v="Electronics"/>
    <x v="2"/>
    <s v="Aba"/>
    <n v="7"/>
    <n v="228391"/>
    <n v="1598737"/>
    <n v="0.19999999999999996"/>
    <n v="1278989.6000000001"/>
    <s v="POS"/>
    <x v="3"/>
    <d v="2023-05-08T00:00:00"/>
    <x v="5"/>
    <s v="REP-05"/>
  </r>
  <r>
    <s v="ORD-0269"/>
    <x v="7"/>
    <x v="1"/>
    <s v="Electronics"/>
    <x v="3"/>
    <s v="Abuja"/>
    <n v="1"/>
    <n v="50032"/>
    <n v="50032"/>
    <n v="0"/>
    <n v="50032"/>
    <s v="Card"/>
    <x v="1"/>
    <d v="2023-08-02T00:00:00"/>
    <x v="0"/>
    <s v="REP-07"/>
  </r>
  <r>
    <s v="ORD-0032"/>
    <x v="2"/>
    <x v="8"/>
    <s v="Accessories"/>
    <x v="1"/>
    <s v="Makurdi"/>
    <n v="1"/>
    <n v="19663"/>
    <n v="19663"/>
    <n v="0"/>
    <n v="19663"/>
    <s v="Cash"/>
    <x v="0"/>
    <d v="2023-10-18T00:00:00"/>
    <x v="3"/>
    <s v="REP-03"/>
  </r>
  <r>
    <s v="ORD-0056"/>
    <x v="0"/>
    <x v="0"/>
    <s v="Accessories"/>
    <x v="0"/>
    <s v="Port Harcourt"/>
    <n v="15"/>
    <n v="38586"/>
    <n v="578790"/>
    <n v="0.1"/>
    <n v="520911"/>
    <s v="Cash"/>
    <x v="2"/>
    <d v="2023-04-05T00:00:00"/>
    <x v="1"/>
    <s v="REP-10"/>
  </r>
  <r>
    <s v="ORD-0091"/>
    <x v="8"/>
    <x v="8"/>
    <s v="Electronics"/>
    <x v="3"/>
    <s v="Kano"/>
    <n v="4"/>
    <n v="63153"/>
    <n v="252612"/>
    <n v="5.0000000000000024E-2"/>
    <n v="239981.4"/>
    <s v="Cash"/>
    <x v="0"/>
    <d v="2023-10-01T00:00:00"/>
    <x v="3"/>
    <s v="REP-06"/>
  </r>
  <r>
    <s v="ORD-0415"/>
    <x v="1"/>
    <x v="7"/>
    <s v="Electronics"/>
    <x v="1"/>
    <s v="Makurdi"/>
    <n v="17"/>
    <n v="211612"/>
    <n v="3597404"/>
    <n v="0"/>
    <n v="3597404"/>
    <s v="Card"/>
    <x v="3"/>
    <d v="2023-11-21T00:00:00"/>
    <x v="7"/>
    <s v="REP-07"/>
  </r>
  <r>
    <s v="ORD-0077"/>
    <x v="9"/>
    <x v="9"/>
    <s v="Electronics"/>
    <x v="0"/>
    <s v="Lagos"/>
    <n v="19"/>
    <n v="7719"/>
    <n v="146661"/>
    <n v="0.10000000000000003"/>
    <n v="131994.9"/>
    <s v="Card"/>
    <x v="1"/>
    <d v="2023-09-21T00:00:00"/>
    <x v="8"/>
    <s v="REP-08"/>
  </r>
  <r>
    <s v="ORD-0003"/>
    <x v="10"/>
    <x v="5"/>
    <s v="Electronics"/>
    <x v="3"/>
    <s v="Kano"/>
    <n v="6"/>
    <n v="371571"/>
    <n v="2229426"/>
    <n v="0.10000000000000005"/>
    <n v="2006483.4"/>
    <s v="Card"/>
    <x v="0"/>
    <d v="2023-03-02T00:00:00"/>
    <x v="2"/>
    <s v="REP-07"/>
  </r>
  <r>
    <s v="ORD-0480"/>
    <x v="11"/>
    <x v="2"/>
    <s v="Electronics"/>
    <x v="0"/>
    <s v="Lagos"/>
    <n v="9"/>
    <n v="53114"/>
    <n v="478026"/>
    <n v="0.2"/>
    <n v="382420.8"/>
    <s v="Transfer"/>
    <x v="0"/>
    <d v="2023-02-19T00:00:00"/>
    <x v="9"/>
    <s v="REP-07"/>
  </r>
  <r>
    <s v="ORD-0189"/>
    <x v="11"/>
    <x v="3"/>
    <s v="Accessories"/>
    <x v="0"/>
    <s v="Lagos"/>
    <n v="2"/>
    <n v="74604"/>
    <n v="149208"/>
    <n v="4.9999999999999961E-2"/>
    <n v="141747.6"/>
    <s v="Cash"/>
    <x v="1"/>
    <d v="2023-06-23T00:00:00"/>
    <x v="10"/>
    <s v="REP-08"/>
  </r>
  <r>
    <s v="ORD-0376"/>
    <x v="12"/>
    <x v="6"/>
    <s v="Electronics"/>
    <x v="2"/>
    <s v="Abuja"/>
    <n v="1"/>
    <n v="349685"/>
    <n v="349685"/>
    <n v="0.05"/>
    <n v="332200.75"/>
    <s v="Cash"/>
    <x v="2"/>
    <d v="2023-05-25T00:00:00"/>
    <x v="5"/>
    <s v="REP-03"/>
  </r>
  <r>
    <s v="ORD-0132"/>
    <x v="13"/>
    <x v="7"/>
    <s v="Electronics"/>
    <x v="4"/>
    <s v="Osogbo"/>
    <n v="19"/>
    <n v="491750"/>
    <n v="9343250"/>
    <n v="0.05"/>
    <n v="8876087.5"/>
    <s v="POS"/>
    <x v="2"/>
    <d v="2023-01-15T00:00:00"/>
    <x v="11"/>
    <s v="REP-02"/>
  </r>
  <r>
    <s v="ORD-0149"/>
    <x v="3"/>
    <x v="9"/>
    <s v="Electronics"/>
    <x v="1"/>
    <s v="Makurdi"/>
    <n v="12"/>
    <n v="13870"/>
    <n v="166440"/>
    <n v="0.2"/>
    <n v="133152"/>
    <s v="Cash"/>
    <x v="1"/>
    <d v="2023-02-08T00:00:00"/>
    <x v="9"/>
    <s v="REP-07"/>
  </r>
  <r>
    <s v="ORD-0050"/>
    <x v="14"/>
    <x v="8"/>
    <s v="Accessories"/>
    <x v="3"/>
    <s v="Lokoja"/>
    <n v="1"/>
    <n v="54857"/>
    <n v="54857"/>
    <n v="0.15000000000000005"/>
    <n v="46628.45"/>
    <s v="Transfer"/>
    <x v="1"/>
    <d v="2023-07-18T00:00:00"/>
    <x v="6"/>
    <s v="REP-09"/>
  </r>
  <r>
    <s v="ORD-0215"/>
    <x v="6"/>
    <x v="3"/>
    <s v="Accessories"/>
    <x v="0"/>
    <s v="Port Harcourt"/>
    <n v="4"/>
    <n v="67773"/>
    <n v="271092"/>
    <n v="5.0000000000000024E-2"/>
    <n v="257537.4"/>
    <s v="Card"/>
    <x v="1"/>
    <d v="2023-04-18T00:00:00"/>
    <x v="1"/>
    <s v="REP-06"/>
  </r>
  <r>
    <s v="ORD-0478"/>
    <x v="12"/>
    <x v="4"/>
    <s v="Accessories"/>
    <x v="4"/>
    <s v="Abeokuta"/>
    <n v="15"/>
    <n v="57047"/>
    <n v="855705"/>
    <n v="0"/>
    <n v="855705"/>
    <s v="Cash"/>
    <x v="2"/>
    <d v="2023-01-05T00:00:00"/>
    <x v="11"/>
    <s v="REP-05"/>
  </r>
  <r>
    <s v="#4308"/>
    <x v="2"/>
    <x v="1"/>
    <s v="Electronics"/>
    <x v="3"/>
    <s v="Kano"/>
    <n v="3"/>
    <n v="47219"/>
    <n v="141657"/>
    <n v="0.19999999999999996"/>
    <n v="113325.6"/>
    <s v="Card"/>
    <x v="0"/>
    <d v="2023-10-21T00:00:00"/>
    <x v="3"/>
    <s v="REP-10"/>
  </r>
  <r>
    <s v="ORD-0159"/>
    <x v="15"/>
    <x v="9"/>
    <s v="Electronics"/>
    <x v="1"/>
    <s v="Lokoja"/>
    <n v="5"/>
    <n v="74397"/>
    <n v="371985"/>
    <n v="0.1"/>
    <n v="334786.5"/>
    <s v="Transfer"/>
    <x v="2"/>
    <d v="2023-01-02T00:00:00"/>
    <x v="11"/>
    <s v="REP-03"/>
  </r>
  <r>
    <s v="ORD-0594"/>
    <x v="16"/>
    <x v="3"/>
    <s v="Accessories"/>
    <x v="2"/>
    <s v="Aba"/>
    <n v="20"/>
    <n v="25550"/>
    <n v="511000"/>
    <n v="0.2"/>
    <n v="408800"/>
    <s v="Card"/>
    <x v="3"/>
    <d v="2023-07-28T00:00:00"/>
    <x v="6"/>
    <s v="REP-09"/>
  </r>
  <r>
    <s v="ORD-0595"/>
    <x v="10"/>
    <x v="1"/>
    <s v="Electronics"/>
    <x v="0"/>
    <s v="Lagos"/>
    <n v="19"/>
    <n v="67061"/>
    <n v="1274159"/>
    <n v="0.15000000000000008"/>
    <n v="1083035.1499999999"/>
    <s v="POS"/>
    <x v="2"/>
    <d v="2023-11-04T00:00:00"/>
    <x v="7"/>
    <s v="REP-07"/>
  </r>
  <r>
    <s v="ORD-0404"/>
    <x v="1"/>
    <x v="2"/>
    <s v="Electronics"/>
    <x v="0"/>
    <s v="Benin"/>
    <n v="19"/>
    <n v="79162"/>
    <n v="1504078"/>
    <n v="4.999999999999994E-2"/>
    <n v="1428874.1"/>
    <s v="Cash"/>
    <x v="2"/>
    <d v="2023-08-08T00:00:00"/>
    <x v="0"/>
    <s v="REP-02"/>
  </r>
  <r>
    <s v="ORD-0164"/>
    <x v="17"/>
    <x v="9"/>
    <s v="Electronics"/>
    <x v="3"/>
    <s v="Kaduna"/>
    <n v="10"/>
    <n v="57187"/>
    <n v="571870"/>
    <n v="0.15"/>
    <n v="486089.5"/>
    <s v="POS"/>
    <x v="3"/>
    <d v="2023-11-03T00:00:00"/>
    <x v="7"/>
    <s v="REP-02"/>
  </r>
  <r>
    <s v="ORD-0265"/>
    <x v="3"/>
    <x v="1"/>
    <s v="Electronics"/>
    <x v="2"/>
    <s v="Aba"/>
    <n v="11"/>
    <n v="42171"/>
    <n v="463881"/>
    <n v="9.999999999999995E-2"/>
    <n v="417492.9"/>
    <s v="Card"/>
    <x v="1"/>
    <d v="2023-06-22T00:00:00"/>
    <x v="10"/>
    <s v="REP-01"/>
  </r>
  <r>
    <s v="ord556"/>
    <x v="3"/>
    <x v="5"/>
    <s v="Electronics"/>
    <x v="0"/>
    <s v="Port Harcourt"/>
    <n v="15"/>
    <n v="446563"/>
    <n v="6698445"/>
    <n v="0.15"/>
    <n v="5693678.25"/>
    <s v="Cash"/>
    <x v="3"/>
    <d v="2023-05-25T00:00:00"/>
    <x v="5"/>
    <s v="REP-09"/>
  </r>
  <r>
    <s v="ORD-0290"/>
    <x v="7"/>
    <x v="5"/>
    <s v="Electronics"/>
    <x v="3"/>
    <s v="Abuja"/>
    <n v="2"/>
    <n v="271358"/>
    <n v="542716"/>
    <n v="0.2"/>
    <n v="434172.8"/>
    <s v="Transfer"/>
    <x v="1"/>
    <d v="2023-03-12T00:00:00"/>
    <x v="2"/>
    <s v="REP-10"/>
  </r>
  <r>
    <s v="ORD-0133"/>
    <x v="11"/>
    <x v="4"/>
    <s v="Accessories"/>
    <x v="3"/>
    <s v="Abuja"/>
    <n v="17"/>
    <n v="27617"/>
    <n v="469489"/>
    <n v="0"/>
    <n v="469489"/>
    <s v="POS"/>
    <x v="1"/>
    <d v="2023-09-17T00:00:00"/>
    <x v="8"/>
    <s v="REP-10"/>
  </r>
  <r>
    <s v="ORD-0332"/>
    <x v="18"/>
    <x v="7"/>
    <s v="Electronics"/>
    <x v="0"/>
    <s v="Port Harcourt"/>
    <n v="2"/>
    <n v="389310"/>
    <n v="778620"/>
    <n v="0"/>
    <n v="778620"/>
    <s v="Card"/>
    <x v="0"/>
    <d v="2023-06-27T00:00:00"/>
    <x v="10"/>
    <s v="REP-08"/>
  </r>
  <r>
    <s v="ORD-0454"/>
    <x v="16"/>
    <x v="8"/>
    <s v="Accessories"/>
    <x v="1"/>
    <s v="Makurdi"/>
    <n v="14"/>
    <n v="56740"/>
    <n v="794360"/>
    <n v="0.05"/>
    <n v="754642"/>
    <s v="POS"/>
    <x v="1"/>
    <d v="2023-09-04T00:00:00"/>
    <x v="8"/>
    <s v="REP-02"/>
  </r>
  <r>
    <s v="ORD-0575"/>
    <x v="18"/>
    <x v="8"/>
    <s v="Accessories"/>
    <x v="0"/>
    <s v="Benin"/>
    <n v="10"/>
    <n v="56131"/>
    <n v="561310"/>
    <n v="0"/>
    <n v="561310"/>
    <s v="Cash"/>
    <x v="1"/>
    <d v="2023-07-12T00:00:00"/>
    <x v="6"/>
    <s v="REP-03"/>
  </r>
  <r>
    <s v="ORD-0317"/>
    <x v="8"/>
    <x v="8"/>
    <s v="Accessories"/>
    <x v="1"/>
    <s v="Jos"/>
    <n v="18"/>
    <n v="39768"/>
    <n v="715824"/>
    <n v="0.10000000000000003"/>
    <n v="644241.6"/>
    <s v="Cash"/>
    <x v="3"/>
    <d v="2023-07-19T00:00:00"/>
    <x v="6"/>
    <s v="REP-09"/>
  </r>
  <r>
    <s v="ORD-0319"/>
    <x v="19"/>
    <x v="3"/>
    <s v="Accessories"/>
    <x v="0"/>
    <s v="Benin"/>
    <n v="10"/>
    <n v="15739"/>
    <n v="157390"/>
    <n v="0.15"/>
    <n v="133781.5"/>
    <s v="POS"/>
    <x v="1"/>
    <d v="2023-08-22T00:00:00"/>
    <x v="0"/>
    <s v="REP-05"/>
  </r>
  <r>
    <s v="ORD-0358"/>
    <x v="2"/>
    <x v="8"/>
    <s v="Accessories"/>
    <x v="3"/>
    <s v="Abuja"/>
    <n v="4"/>
    <n v="11014"/>
    <n v="44056"/>
    <n v="0"/>
    <n v="44056"/>
    <s v="Card"/>
    <x v="0"/>
    <d v="2023-06-15T00:00:00"/>
    <x v="10"/>
    <s v="REP-10"/>
  </r>
  <r>
    <s v="ORD-0040"/>
    <x v="7"/>
    <x v="4"/>
    <s v="Accessories"/>
    <x v="3"/>
    <s v="Kaduna"/>
    <n v="10"/>
    <n v="71469"/>
    <n v="714690"/>
    <n v="0.1"/>
    <n v="643221"/>
    <s v="POS"/>
    <x v="0"/>
    <d v="2023-05-09T00:00:00"/>
    <x v="5"/>
    <s v="REP-04"/>
  </r>
  <r>
    <s v="ORD-0087"/>
    <x v="15"/>
    <x v="8"/>
    <s v="Accessories"/>
    <x v="3"/>
    <s v="Abuja"/>
    <n v="11"/>
    <n v="66993"/>
    <n v="736923"/>
    <n v="0.14999999999999994"/>
    <n v="626384.55000000005"/>
    <s v="Card"/>
    <x v="1"/>
    <d v="2023-05-01T00:00:00"/>
    <x v="5"/>
    <s v="REP-09"/>
  </r>
  <r>
    <s v="ORD-0339"/>
    <x v="17"/>
    <x v="5"/>
    <s v="Electronics"/>
    <x v="2"/>
    <s v="Enugu"/>
    <n v="10"/>
    <n v="248754"/>
    <n v="2487540"/>
    <n v="0.05"/>
    <n v="2363163"/>
    <s v="Cash"/>
    <x v="1"/>
    <d v="2023-11-11T00:00:00"/>
    <x v="7"/>
    <s v="REP-03"/>
  </r>
  <r>
    <s v="ORD-0418"/>
    <x v="14"/>
    <x v="7"/>
    <s v="Electronics"/>
    <x v="1"/>
    <s v="Lokoja"/>
    <n v="17"/>
    <n v="211776"/>
    <n v="3600192"/>
    <n v="0.19999999999999998"/>
    <n v="2880153.6000000001"/>
    <s v="Card"/>
    <x v="0"/>
    <d v="2023-12-07T00:00:00"/>
    <x v="4"/>
    <s v="REP-02"/>
  </r>
  <r>
    <s v="ORD-0210"/>
    <x v="3"/>
    <x v="6"/>
    <s v="Electronics"/>
    <x v="1"/>
    <s v="Lokoja"/>
    <n v="6"/>
    <n v="478200"/>
    <n v="2869200"/>
    <n v="0.15"/>
    <n v="2438820"/>
    <s v="Cash"/>
    <x v="0"/>
    <d v="2023-11-22T00:00:00"/>
    <x v="7"/>
    <s v="REP-07"/>
  </r>
  <r>
    <s v="ORD-0474"/>
    <x v="19"/>
    <x v="5"/>
    <s v="Electronics"/>
    <x v="3"/>
    <s v="Abuja"/>
    <n v="7"/>
    <n v="422359"/>
    <n v="2956513"/>
    <n v="0"/>
    <n v="2956513"/>
    <s v="Card"/>
    <x v="1"/>
    <d v="2023-07-04T00:00:00"/>
    <x v="6"/>
    <s v="REP-09"/>
  </r>
  <r>
    <s v="ORD-0572"/>
    <x v="15"/>
    <x v="7"/>
    <s v="Electronics"/>
    <x v="4"/>
    <s v="Osogbo"/>
    <n v="9"/>
    <n v="229485"/>
    <n v="2065365"/>
    <n v="0.1"/>
    <n v="1858828.5"/>
    <s v="Cash"/>
    <x v="1"/>
    <d v="2023-08-14T00:00:00"/>
    <x v="0"/>
    <s v="REP-07"/>
  </r>
  <r>
    <s v="ORD-0079"/>
    <x v="15"/>
    <x v="2"/>
    <s v="Electronics"/>
    <x v="3"/>
    <s v="Aba"/>
    <n v="14"/>
    <n v="69942"/>
    <n v="979188"/>
    <n v="0.10000000000000005"/>
    <n v="881269.2"/>
    <s v="Cash"/>
    <x v="1"/>
    <d v="2023-02-11T00:00:00"/>
    <x v="9"/>
    <s v="REP-05"/>
  </r>
  <r>
    <s v="ORD-0351"/>
    <x v="12"/>
    <x v="0"/>
    <s v="Accessories"/>
    <x v="1"/>
    <s v="Lokoja"/>
    <n v="6"/>
    <n v="21143"/>
    <n v="126858"/>
    <n v="0.10000000000000002"/>
    <n v="114172.2"/>
    <s v="Transfer"/>
    <x v="3"/>
    <d v="2023-10-02T00:00:00"/>
    <x v="3"/>
    <s v="REP-02"/>
  </r>
  <r>
    <s v="ORD-0177"/>
    <x v="19"/>
    <x v="1"/>
    <s v="Electronics"/>
    <x v="1"/>
    <s v="Lokoja"/>
    <n v="9"/>
    <n v="20572"/>
    <n v="185148"/>
    <n v="4.9999999999999968E-2"/>
    <n v="175890.6"/>
    <s v="Transfer"/>
    <x v="0"/>
    <d v="2023-09-12T00:00:00"/>
    <x v="8"/>
    <s v="REP-03"/>
  </r>
  <r>
    <s v="ORD-0287"/>
    <x v="9"/>
    <x v="1"/>
    <s v="Electronics"/>
    <x v="3"/>
    <s v="Kaduna"/>
    <n v="12"/>
    <n v="31302"/>
    <n v="375624"/>
    <n v="0.10000000000000006"/>
    <n v="338061.6"/>
    <s v="Card"/>
    <x v="1"/>
    <d v="2023-06-19T00:00:00"/>
    <x v="10"/>
    <s v="REP-08"/>
  </r>
  <r>
    <s v="ORD-0011"/>
    <x v="10"/>
    <x v="9"/>
    <s v="Electronics"/>
    <x v="4"/>
    <s v="Osogbo"/>
    <n v="13"/>
    <n v="66348"/>
    <n v="862524"/>
    <n v="0.20000000000000007"/>
    <n v="690019.2"/>
    <s v="Cash"/>
    <x v="3"/>
    <d v="2023-11-18T00:00:00"/>
    <x v="7"/>
    <s v="REP-05"/>
  </r>
  <r>
    <s v="ORD-0262"/>
    <x v="15"/>
    <x v="2"/>
    <s v="Electronics"/>
    <x v="0"/>
    <s v="Benin"/>
    <n v="5"/>
    <n v="47217"/>
    <n v="236085"/>
    <n v="0.05"/>
    <n v="224280.75"/>
    <s v="Card"/>
    <x v="0"/>
    <d v="2023-11-14T00:00:00"/>
    <x v="7"/>
    <s v="REP-07"/>
  </r>
  <r>
    <s v="ORD-0471"/>
    <x v="19"/>
    <x v="7"/>
    <s v="Electronics"/>
    <x v="0"/>
    <s v="Benin"/>
    <n v="6"/>
    <n v="166396"/>
    <n v="998376"/>
    <n v="5.0000000000000044E-2"/>
    <n v="948457.2"/>
    <s v="Card"/>
    <x v="3"/>
    <d v="2023-01-19T00:00:00"/>
    <x v="11"/>
    <s v="REP-07"/>
  </r>
  <r>
    <s v="ORD-0175"/>
    <x v="19"/>
    <x v="0"/>
    <s v="Accessories"/>
    <x v="4"/>
    <s v="Abeokuta"/>
    <n v="10"/>
    <n v="75345"/>
    <n v="753450"/>
    <n v="0"/>
    <n v="753450"/>
    <s v="Unknown"/>
    <x v="0"/>
    <d v="2023-12-12T00:00:00"/>
    <x v="4"/>
    <s v="REP-07"/>
  </r>
  <r>
    <s v="ORD-0136"/>
    <x v="15"/>
    <x v="2"/>
    <s v="Electronics"/>
    <x v="1"/>
    <s v="Makurdi"/>
    <n v="3"/>
    <n v="45577"/>
    <n v="136731"/>
    <n v="0.19999999999999998"/>
    <n v="109384.8"/>
    <s v="Unknown"/>
    <x v="2"/>
    <d v="2023-11-23T00:00:00"/>
    <x v="7"/>
    <s v="REP-09"/>
  </r>
  <r>
    <s v="ORD-0457"/>
    <x v="8"/>
    <x v="7"/>
    <s v="Electronics"/>
    <x v="1"/>
    <s v="Lokoja"/>
    <n v="1"/>
    <n v="247484"/>
    <n v="247484"/>
    <n v="0"/>
    <n v="247484"/>
    <s v="Card"/>
    <x v="1"/>
    <d v="2023-01-12T00:00:00"/>
    <x v="11"/>
    <s v="REP-04"/>
  </r>
  <r>
    <s v="ORD-0212"/>
    <x v="7"/>
    <x v="5"/>
    <s v="Electronics"/>
    <x v="0"/>
    <s v="Benin"/>
    <n v="15"/>
    <n v="180211"/>
    <n v="2703165"/>
    <n v="0.2"/>
    <n v="2162532"/>
    <s v="Card"/>
    <x v="1"/>
    <d v="2023-09-04T00:00:00"/>
    <x v="8"/>
    <s v="REP-04"/>
  </r>
  <r>
    <s v="ORDER-676"/>
    <x v="13"/>
    <x v="9"/>
    <s v="Electronics"/>
    <x v="4"/>
    <s v="Ibadan"/>
    <n v="9"/>
    <n v="10778"/>
    <n v="97002"/>
    <n v="0"/>
    <n v="97002"/>
    <s v="Transfer"/>
    <x v="2"/>
    <d v="2023-12-15T00:00:00"/>
    <x v="4"/>
    <s v="REP-09"/>
  </r>
  <r>
    <s v="ORD-0585"/>
    <x v="6"/>
    <x v="0"/>
    <s v="Accessories"/>
    <x v="3"/>
    <s v="Kano"/>
    <n v="20"/>
    <n v="28593"/>
    <n v="571860"/>
    <n v="0.15"/>
    <n v="486081"/>
    <s v="Transfer"/>
    <x v="0"/>
    <d v="2023-01-07T00:00:00"/>
    <x v="11"/>
    <s v="REP-09"/>
  </r>
  <r>
    <s v="ORD-0495"/>
    <x v="8"/>
    <x v="6"/>
    <s v="Electronics"/>
    <x v="3"/>
    <s v="Kaduna"/>
    <n v="2"/>
    <n v="279704"/>
    <n v="559408"/>
    <n v="0.19999999999999996"/>
    <n v="447526.40000000002"/>
    <s v="POS"/>
    <x v="1"/>
    <d v="2023-06-12T00:00:00"/>
    <x v="10"/>
    <s v="REP-01"/>
  </r>
  <r>
    <s v="ORD-0342"/>
    <x v="11"/>
    <x v="5"/>
    <s v="Electronics"/>
    <x v="1"/>
    <s v="Lokoja"/>
    <n v="6"/>
    <n v="325968"/>
    <n v="1955808"/>
    <n v="0"/>
    <n v="1955808"/>
    <s v="Card"/>
    <x v="0"/>
    <d v="2023-07-26T00:00:00"/>
    <x v="6"/>
    <s v="REP-06"/>
  </r>
  <r>
    <s v="ORD-0042"/>
    <x v="20"/>
    <x v="0"/>
    <s v="Accessories"/>
    <x v="1"/>
    <s v="Makurdi"/>
    <n v="11"/>
    <n v="65946"/>
    <n v="725406"/>
    <n v="0.15000000000000002"/>
    <n v="616595.1"/>
    <s v="Card"/>
    <x v="1"/>
    <d v="2023-06-12T00:00:00"/>
    <x v="10"/>
    <s v="REP-02"/>
  </r>
  <r>
    <s v="ORD-0588"/>
    <x v="13"/>
    <x v="4"/>
    <s v="Accessories"/>
    <x v="2"/>
    <s v="Aba"/>
    <n v="7"/>
    <n v="61973"/>
    <n v="433811"/>
    <n v="9.999999999999995E-2"/>
    <n v="390429.9"/>
    <s v="POS"/>
    <x v="3"/>
    <d v="2023-02-24T00:00:00"/>
    <x v="9"/>
    <s v="REP-01"/>
  </r>
  <r>
    <s v="ORD-0266"/>
    <x v="16"/>
    <x v="7"/>
    <s v="Electronics"/>
    <x v="0"/>
    <s v="Kaduna"/>
    <n v="15"/>
    <n v="158536"/>
    <n v="2378040"/>
    <n v="0"/>
    <n v="2378040"/>
    <s v="POS"/>
    <x v="3"/>
    <d v="2023-07-07T00:00:00"/>
    <x v="6"/>
    <s v="REP-03"/>
  </r>
  <r>
    <s v="ORD-0057"/>
    <x v="5"/>
    <x v="7"/>
    <s v="Electronics"/>
    <x v="2"/>
    <s v="Enugu"/>
    <n v="19"/>
    <n v="346768"/>
    <n v="6588592"/>
    <n v="0.14999999999999997"/>
    <n v="5600303.2000000002"/>
    <s v="Card"/>
    <x v="3"/>
    <d v="2023-12-25T00:00:00"/>
    <x v="4"/>
    <s v="REP-05"/>
  </r>
  <r>
    <s v="ORD-0405"/>
    <x v="17"/>
    <x v="5"/>
    <s v="Electronics"/>
    <x v="2"/>
    <s v="Onitsha"/>
    <n v="8"/>
    <n v="172443"/>
    <n v="1379544"/>
    <n v="4.9999999999999968E-2"/>
    <n v="1310566.8"/>
    <s v="POS"/>
    <x v="1"/>
    <d v="2023-02-08T00:00:00"/>
    <x v="9"/>
    <s v="REP-01"/>
  </r>
  <r>
    <s v="ORD-0540"/>
    <x v="0"/>
    <x v="5"/>
    <s v="Electronics"/>
    <x v="2"/>
    <s v="Enugu"/>
    <n v="20"/>
    <n v="451296"/>
    <n v="9025920"/>
    <n v="0.05"/>
    <n v="8574624"/>
    <s v="POS"/>
    <x v="3"/>
    <d v="2023-06-18T00:00:00"/>
    <x v="10"/>
    <s v="REP-02"/>
  </r>
  <r>
    <s v="ORD-0397"/>
    <x v="19"/>
    <x v="1"/>
    <s v="Electronics"/>
    <x v="2"/>
    <s v="Onitsha"/>
    <n v="12"/>
    <n v="21805"/>
    <n v="261660"/>
    <n v="0.05"/>
    <n v="248577"/>
    <s v="Cash"/>
    <x v="2"/>
    <d v="2023-06-16T00:00:00"/>
    <x v="10"/>
    <s v="REP-08"/>
  </r>
  <r>
    <s v="ORD-0156"/>
    <x v="18"/>
    <x v="1"/>
    <s v="Electronics"/>
    <x v="1"/>
    <s v="Lokoja"/>
    <n v="14"/>
    <n v="26842"/>
    <n v="375788"/>
    <n v="0.15000000000000002"/>
    <n v="319419.8"/>
    <s v="Cash"/>
    <x v="0"/>
    <d v="2023-10-14T00:00:00"/>
    <x v="3"/>
    <s v="REP-05"/>
  </r>
  <r>
    <s v="ORD-0025"/>
    <x v="19"/>
    <x v="9"/>
    <s v="Electronics"/>
    <x v="1"/>
    <s v="Makurdi"/>
    <n v="3"/>
    <n v="35828"/>
    <n v="107484"/>
    <n v="0.15000000000000005"/>
    <n v="91361.4"/>
    <s v="Card"/>
    <x v="3"/>
    <d v="2023-03-10T00:00:00"/>
    <x v="2"/>
    <s v="REP-07"/>
  </r>
  <r>
    <s v="ORD-0083"/>
    <x v="0"/>
    <x v="1"/>
    <s v="Electronics"/>
    <x v="3"/>
    <s v="Abuja"/>
    <n v="5"/>
    <n v="70323"/>
    <n v="351615"/>
    <n v="0.1"/>
    <n v="316453.5"/>
    <s v="Transfer"/>
    <x v="1"/>
    <d v="2023-08-16T00:00:00"/>
    <x v="0"/>
    <s v="REP-04"/>
  </r>
  <r>
    <s v="ORD-0365"/>
    <x v="20"/>
    <x v="6"/>
    <s v="Electronics"/>
    <x v="3"/>
    <s v="Abeokuta"/>
    <n v="13"/>
    <n v="273207"/>
    <n v="3551691"/>
    <n v="0"/>
    <n v="3551691"/>
    <s v="POS"/>
    <x v="3"/>
    <d v="2023-08-15T00:00:00"/>
    <x v="0"/>
    <s v="REP-06"/>
  </r>
  <r>
    <s v="ORD-0216"/>
    <x v="8"/>
    <x v="5"/>
    <s v="Electronics"/>
    <x v="4"/>
    <s v="Abeokuta"/>
    <n v="15"/>
    <n v="429786"/>
    <n v="6446790"/>
    <n v="0.1"/>
    <n v="5802111"/>
    <s v="Transfer"/>
    <x v="1"/>
    <d v="2023-04-08T00:00:00"/>
    <x v="1"/>
    <s v="REP-08"/>
  </r>
  <r>
    <s v="ORD-0599"/>
    <x v="20"/>
    <x v="2"/>
    <s v="Electronics"/>
    <x v="4"/>
    <s v="Ibadan"/>
    <n v="19"/>
    <n v="8199"/>
    <n v="155781"/>
    <n v="0.14999999999999997"/>
    <n v="132413.85"/>
    <s v="POS"/>
    <x v="2"/>
    <d v="2023-06-21T00:00:00"/>
    <x v="10"/>
    <s v="REP-08"/>
  </r>
  <r>
    <s v="ORD-0488"/>
    <x v="5"/>
    <x v="9"/>
    <s v="Electronics"/>
    <x v="4"/>
    <s v="Abeokuta"/>
    <n v="14"/>
    <n v="52876"/>
    <n v="740264"/>
    <n v="0.10000000000000003"/>
    <n v="666237.6"/>
    <s v="Transfer"/>
    <x v="3"/>
    <d v="2023-06-05T00:00:00"/>
    <x v="10"/>
    <s v="REP-06"/>
  </r>
  <r>
    <s v="ORD-0071"/>
    <x v="12"/>
    <x v="0"/>
    <s v="Accessories"/>
    <x v="4"/>
    <s v="Osogbo"/>
    <n v="10"/>
    <n v="79531"/>
    <n v="795310"/>
    <n v="0.2"/>
    <n v="636248"/>
    <s v="Cash"/>
    <x v="2"/>
    <d v="2023-07-11T00:00:00"/>
    <x v="6"/>
    <s v="REP-05"/>
  </r>
  <r>
    <s v="ORD-0364"/>
    <x v="13"/>
    <x v="1"/>
    <s v="Electronics"/>
    <x v="4"/>
    <s v="Ibadan"/>
    <n v="6"/>
    <n v="14812"/>
    <n v="88872"/>
    <n v="0.15000000000000002"/>
    <n v="75541.2"/>
    <s v="Transfer"/>
    <x v="0"/>
    <d v="2023-01-17T00:00:00"/>
    <x v="11"/>
    <s v="REP-04"/>
  </r>
  <r>
    <s v="ORD-0375"/>
    <x v="3"/>
    <x v="6"/>
    <s v="Electronics"/>
    <x v="1"/>
    <s v="Lokoja"/>
    <n v="11"/>
    <n v="210505"/>
    <n v="2315555"/>
    <n v="0.1"/>
    <n v="2083999.5"/>
    <s v="POS"/>
    <x v="0"/>
    <d v="2023-07-26T00:00:00"/>
    <x v="6"/>
    <s v="REP-01"/>
  </r>
  <r>
    <s v="ORD-0282"/>
    <x v="4"/>
    <x v="5"/>
    <s v="Electronics"/>
    <x v="1"/>
    <s v="Lokoja"/>
    <n v="3"/>
    <n v="287861"/>
    <n v="863583"/>
    <n v="0.19999999999999998"/>
    <n v="690866.4"/>
    <s v="POS"/>
    <x v="0"/>
    <d v="2023-01-16T00:00:00"/>
    <x v="11"/>
    <s v="REP-10"/>
  </r>
  <r>
    <s v="ORD-0061"/>
    <x v="6"/>
    <x v="5"/>
    <s v="Electronics"/>
    <x v="4"/>
    <s v="Osogbo"/>
    <n v="8"/>
    <n v="393641"/>
    <n v="3149128"/>
    <n v="0.20000000000000004"/>
    <n v="2519302.4"/>
    <s v="POS"/>
    <x v="0"/>
    <d v="2023-01-16T00:00:00"/>
    <x v="11"/>
    <s v="REP-06"/>
  </r>
  <r>
    <s v="ORD-0406"/>
    <x v="9"/>
    <x v="4"/>
    <s v="Accessories"/>
    <x v="3"/>
    <s v="Abuja"/>
    <n v="17"/>
    <n v="40847"/>
    <n v="694399"/>
    <n v="0.10000000000000003"/>
    <n v="624959.1"/>
    <s v="Card"/>
    <x v="1"/>
    <d v="2023-11-13T00:00:00"/>
    <x v="7"/>
    <s v="REP-06"/>
  </r>
  <r>
    <s v="ORD-0413"/>
    <x v="20"/>
    <x v="0"/>
    <s v="Accessories"/>
    <x v="1"/>
    <s v="Makurdi"/>
    <n v="9"/>
    <n v="26983"/>
    <n v="242847"/>
    <n v="0.10000000000000005"/>
    <n v="218562.3"/>
    <s v="Cash"/>
    <x v="2"/>
    <d v="2023-07-13T00:00:00"/>
    <x v="6"/>
    <s v="REP-03"/>
  </r>
  <r>
    <s v="ORD-0211"/>
    <x v="8"/>
    <x v="6"/>
    <s v="Electronics"/>
    <x v="2"/>
    <s v="Onitsha"/>
    <n v="14"/>
    <n v="364045"/>
    <n v="5096630"/>
    <n v="0.05"/>
    <n v="4841798.5"/>
    <s v="Card"/>
    <x v="1"/>
    <d v="2023-04-28T00:00:00"/>
    <x v="1"/>
    <s v="REP-04"/>
  </r>
  <r>
    <s v="ORD-0600"/>
    <x v="12"/>
    <x v="7"/>
    <s v="Electronics"/>
    <x v="3"/>
    <s v="Kaduna"/>
    <n v="13"/>
    <n v="324538"/>
    <n v="4218994"/>
    <n v="0.19999999999999996"/>
    <n v="3375195.2"/>
    <s v="POS"/>
    <x v="0"/>
    <d v="2023-12-20T00:00:00"/>
    <x v="4"/>
    <s v="REP-09"/>
  </r>
  <r>
    <s v="ORD-0166"/>
    <x v="16"/>
    <x v="9"/>
    <s v="Electronics"/>
    <x v="1"/>
    <s v="Lokoja"/>
    <n v="5"/>
    <n v="44862"/>
    <n v="224310"/>
    <n v="0.05"/>
    <n v="213094.5"/>
    <s v="Card"/>
    <x v="0"/>
    <d v="2023-12-20T00:00:00"/>
    <x v="4"/>
    <s v="REP-02"/>
  </r>
  <r>
    <s v="ORD-0248"/>
    <x v="7"/>
    <x v="2"/>
    <s v="Electronics"/>
    <x v="1"/>
    <s v="Lokoja"/>
    <n v="6"/>
    <n v="48383"/>
    <n v="290298"/>
    <n v="0.2"/>
    <n v="232238.4"/>
    <s v="Card"/>
    <x v="1"/>
    <d v="2023-06-11T00:00:00"/>
    <x v="10"/>
    <s v="REP-03"/>
  </r>
  <r>
    <s v="ORD-0276"/>
    <x v="4"/>
    <x v="8"/>
    <s v="Accessories"/>
    <x v="2"/>
    <s v="Enugu"/>
    <n v="18"/>
    <n v="27645"/>
    <n v="497610"/>
    <n v="0.15"/>
    <n v="422968.5"/>
    <s v="Cash"/>
    <x v="3"/>
    <d v="2023-07-05T00:00:00"/>
    <x v="6"/>
    <s v="REP-01"/>
  </r>
  <r>
    <s v="ORD-0258"/>
    <x v="5"/>
    <x v="4"/>
    <s v="Accessories"/>
    <x v="1"/>
    <s v="Lokoja"/>
    <n v="2"/>
    <n v="62850"/>
    <n v="125700"/>
    <n v="0.2"/>
    <n v="100560"/>
    <s v="Cash"/>
    <x v="2"/>
    <d v="2023-05-28T00:00:00"/>
    <x v="5"/>
    <s v="REP-01"/>
  </r>
  <r>
    <s v="ORD-0291"/>
    <x v="9"/>
    <x v="9"/>
    <s v="Electronics"/>
    <x v="1"/>
    <s v="Makurdi"/>
    <n v="5"/>
    <n v="56688"/>
    <n v="283440"/>
    <n v="0"/>
    <n v="283440"/>
    <s v="Cash"/>
    <x v="1"/>
    <d v="2023-05-11T00:00:00"/>
    <x v="5"/>
    <s v="REP-04"/>
  </r>
  <r>
    <s v="ORD-0458"/>
    <x v="13"/>
    <x v="9"/>
    <s v="Electronics"/>
    <x v="0"/>
    <s v="Benin"/>
    <n v="1"/>
    <n v="69694"/>
    <n v="69694"/>
    <n v="4.9999999999999961E-2"/>
    <n v="66209.3"/>
    <s v="Transfer"/>
    <x v="1"/>
    <d v="2023-06-15T00:00:00"/>
    <x v="10"/>
    <s v="REP-01"/>
  </r>
  <r>
    <s v="ORD-0030"/>
    <x v="5"/>
    <x v="2"/>
    <s v="Electronics"/>
    <x v="2"/>
    <s v="Aba"/>
    <n v="10"/>
    <n v="32607"/>
    <n v="326070"/>
    <n v="0.1"/>
    <n v="293463"/>
    <s v="Transfer"/>
    <x v="1"/>
    <d v="2023-05-28T00:00:00"/>
    <x v="5"/>
    <s v="REP-01"/>
  </r>
  <r>
    <s v="ORD-0193"/>
    <x v="0"/>
    <x v="6"/>
    <s v="Electronics"/>
    <x v="1"/>
    <s v="Lokoja"/>
    <n v="16"/>
    <n v="220359"/>
    <n v="3525744"/>
    <n v="0.19999999999999996"/>
    <n v="2820595.2"/>
    <s v="Card"/>
    <x v="3"/>
    <d v="2023-06-06T00:00:00"/>
    <x v="10"/>
    <s v="REP-08"/>
  </r>
  <r>
    <s v="#3203"/>
    <x v="12"/>
    <x v="5"/>
    <s v="Electronics"/>
    <x v="4"/>
    <s v="Abeokuta"/>
    <n v="4"/>
    <n v="223283"/>
    <n v="893132"/>
    <n v="0"/>
    <n v="893132"/>
    <s v="POS"/>
    <x v="3"/>
    <d v="2023-08-02T00:00:00"/>
    <x v="0"/>
    <s v="REP-09"/>
  </r>
  <r>
    <s v="ORD-0305"/>
    <x v="9"/>
    <x v="4"/>
    <s v="Accessories"/>
    <x v="2"/>
    <s v="Aba"/>
    <n v="19"/>
    <n v="8697"/>
    <n v="165243"/>
    <n v="9.9999999999999936E-2"/>
    <n v="148718.70000000001"/>
    <s v="Card"/>
    <x v="2"/>
    <d v="2023-08-18T00:00:00"/>
    <x v="0"/>
    <s v="REP-05"/>
  </r>
  <r>
    <s v="ORD-0229"/>
    <x v="12"/>
    <x v="8"/>
    <s v="Accessories"/>
    <x v="0"/>
    <s v="Lagos"/>
    <n v="3"/>
    <n v="70639"/>
    <n v="211917"/>
    <n v="0.10000000000000006"/>
    <n v="190725.3"/>
    <s v="POS"/>
    <x v="2"/>
    <d v="2023-11-02T00:00:00"/>
    <x v="7"/>
    <s v="REP-10"/>
  </r>
  <r>
    <s v="ORD-0279"/>
    <x v="12"/>
    <x v="0"/>
    <s v="Accessories"/>
    <x v="3"/>
    <s v="Kano"/>
    <n v="10"/>
    <n v="62342"/>
    <n v="623420"/>
    <n v="0.05"/>
    <n v="592249"/>
    <s v="Cash"/>
    <x v="1"/>
    <d v="2023-02-15T00:00:00"/>
    <x v="9"/>
    <s v="REP-10"/>
  </r>
  <r>
    <s v="ORD-0299"/>
    <x v="14"/>
    <x v="2"/>
    <s v="Electronics"/>
    <x v="3"/>
    <s v="Lokoja"/>
    <n v="14"/>
    <n v="56773"/>
    <n v="794822"/>
    <n v="0.15000000000000005"/>
    <n v="675598.7"/>
    <s v="POS"/>
    <x v="2"/>
    <d v="2023-07-06T00:00:00"/>
    <x v="6"/>
    <s v="REP-03"/>
  </r>
  <r>
    <s v="ORD-0275"/>
    <x v="14"/>
    <x v="3"/>
    <s v="Accessories"/>
    <x v="4"/>
    <s v="Abeokuta"/>
    <n v="20"/>
    <n v="14307"/>
    <n v="286140"/>
    <n v="0.2"/>
    <n v="228912"/>
    <s v="Transfer"/>
    <x v="2"/>
    <d v="2023-07-28T00:00:00"/>
    <x v="6"/>
    <s v="REP-10"/>
  </r>
  <r>
    <s v="ORD-0205"/>
    <x v="14"/>
    <x v="8"/>
    <s v="Electronics"/>
    <x v="1"/>
    <s v="Lokoja"/>
    <n v="5"/>
    <n v="34188"/>
    <n v="170940"/>
    <n v="0"/>
    <n v="170940"/>
    <s v="POS"/>
    <x v="1"/>
    <d v="2023-09-13T00:00:00"/>
    <x v="8"/>
    <s v="REP-04"/>
  </r>
  <r>
    <s v="ORD-0430"/>
    <x v="3"/>
    <x v="3"/>
    <s v="Accessories"/>
    <x v="0"/>
    <s v="Enugu"/>
    <n v="14"/>
    <n v="51281"/>
    <n v="717934"/>
    <n v="0.20000000000000007"/>
    <n v="574347.19999999995"/>
    <s v="Transfer"/>
    <x v="2"/>
    <d v="2023-03-05T00:00:00"/>
    <x v="2"/>
    <s v="REP-07"/>
  </r>
  <r>
    <s v="ORD-0453"/>
    <x v="7"/>
    <x v="7"/>
    <s v="Electronics"/>
    <x v="4"/>
    <s v="Abeokuta"/>
    <n v="16"/>
    <n v="307082"/>
    <n v="4913312"/>
    <n v="0"/>
    <n v="4913312"/>
    <s v="Card"/>
    <x v="3"/>
    <d v="2023-09-12T00:00:00"/>
    <x v="8"/>
    <s v="REP-04"/>
  </r>
  <r>
    <s v="ORD-0596"/>
    <x v="14"/>
    <x v="0"/>
    <s v="Accessories"/>
    <x v="2"/>
    <s v="Benin"/>
    <n v="19"/>
    <n v="24525"/>
    <n v="465975"/>
    <n v="0.2"/>
    <n v="372780"/>
    <s v="Cash"/>
    <x v="3"/>
    <d v="2023-08-24T00:00:00"/>
    <x v="0"/>
    <s v="REP-09"/>
  </r>
  <r>
    <s v="ORD-0300"/>
    <x v="0"/>
    <x v="5"/>
    <s v="Electronics"/>
    <x v="2"/>
    <s v="Aba"/>
    <n v="15"/>
    <n v="227925"/>
    <n v="3418875"/>
    <n v="0"/>
    <n v="3418875"/>
    <s v="Card"/>
    <x v="0"/>
    <d v="2023-08-14T00:00:00"/>
    <x v="0"/>
    <s v="REP-09"/>
  </r>
  <r>
    <s v="ORD-0082"/>
    <x v="8"/>
    <x v="9"/>
    <s v="Electronics"/>
    <x v="3"/>
    <s v="Abuja"/>
    <n v="20"/>
    <n v="36365"/>
    <n v="727300"/>
    <n v="0.05"/>
    <n v="690935"/>
    <s v="Cash"/>
    <x v="1"/>
    <d v="2023-08-02T00:00:00"/>
    <x v="0"/>
    <s v="REP-02"/>
  </r>
  <r>
    <s v="ORD-0228"/>
    <x v="16"/>
    <x v="0"/>
    <s v="Accessories"/>
    <x v="0"/>
    <s v="Port Harcourt"/>
    <n v="13"/>
    <n v="15084"/>
    <n v="196092"/>
    <n v="0.10000000000000006"/>
    <n v="176482.8"/>
    <s v="Card"/>
    <x v="1"/>
    <d v="2023-11-18T00:00:00"/>
    <x v="7"/>
    <s v="REP-06"/>
  </r>
  <r>
    <s v="ORD-0110"/>
    <x v="12"/>
    <x v="7"/>
    <s v="Electronics"/>
    <x v="1"/>
    <s v="Lokoja"/>
    <n v="3"/>
    <n v="1300486.6666666667"/>
    <n v="3901460"/>
    <n v="0"/>
    <n v="3901460"/>
    <s v="POS"/>
    <x v="1"/>
    <d v="2023-04-11T00:00:00"/>
    <x v="1"/>
    <s v="REP-08"/>
  </r>
  <r>
    <s v="ORD-0249"/>
    <x v="9"/>
    <x v="8"/>
    <s v="Accessories"/>
    <x v="4"/>
    <s v="Abeokuta"/>
    <n v="1"/>
    <n v="30863"/>
    <n v="30863"/>
    <n v="0.15000000000000002"/>
    <n v="26233.55"/>
    <s v="POS"/>
    <x v="3"/>
    <d v="2023-07-12T00:00:00"/>
    <x v="6"/>
    <s v="REP-04"/>
  </r>
  <r>
    <s v="ORD-0426"/>
    <x v="3"/>
    <x v="7"/>
    <s v="Electronics"/>
    <x v="3"/>
    <s v="Abuja"/>
    <n v="3"/>
    <n v="438144"/>
    <n v="1314432"/>
    <n v="9.9999999999999964E-2"/>
    <n v="1182988.8"/>
    <s v="Transfer"/>
    <x v="0"/>
    <d v="2023-08-05T00:00:00"/>
    <x v="0"/>
    <s v="REP-10"/>
  </r>
  <r>
    <s v="ORD-0064"/>
    <x v="18"/>
    <x v="3"/>
    <s v="Accessories"/>
    <x v="4"/>
    <s v="Abeokuta"/>
    <n v="8"/>
    <n v="45135"/>
    <n v="361080"/>
    <n v="0.2"/>
    <n v="288864"/>
    <s v="Transfer"/>
    <x v="1"/>
    <d v="2023-12-18T00:00:00"/>
    <x v="4"/>
    <s v="REP-06"/>
  </r>
  <r>
    <s v="ORD-0548"/>
    <x v="15"/>
    <x v="0"/>
    <s v="Accessories"/>
    <x v="4"/>
    <s v="Abeokuta"/>
    <n v="11"/>
    <n v="55173"/>
    <n v="606903"/>
    <n v="0.15000000000000002"/>
    <n v="515867.55"/>
    <s v="Card"/>
    <x v="2"/>
    <d v="2023-05-08T00:00:00"/>
    <x v="5"/>
    <s v="REP-04"/>
  </r>
  <r>
    <s v="ORD-0073"/>
    <x v="8"/>
    <x v="1"/>
    <s v="Electronics"/>
    <x v="2"/>
    <s v="Aba"/>
    <n v="2"/>
    <n v="35340"/>
    <n v="70680"/>
    <n v="0.1"/>
    <n v="63612"/>
    <s v="POS"/>
    <x v="3"/>
    <d v="2023-08-11T00:00:00"/>
    <x v="0"/>
    <s v="REP-05"/>
  </r>
  <r>
    <s v="ORD-0569"/>
    <x v="4"/>
    <x v="7"/>
    <s v="Electronics"/>
    <x v="2"/>
    <s v="Onitsha"/>
    <n v="9"/>
    <n v="243286"/>
    <n v="2189574"/>
    <n v="0.15000000000000005"/>
    <n v="1861137.9"/>
    <s v="Card"/>
    <x v="1"/>
    <d v="2023-03-21T00:00:00"/>
    <x v="2"/>
    <s v="REP-08"/>
  </r>
  <r>
    <s v="ORD-0285"/>
    <x v="10"/>
    <x v="3"/>
    <s v="Accessories"/>
    <x v="2"/>
    <s v="Enugu"/>
    <n v="8"/>
    <n v="59559"/>
    <n v="476472"/>
    <n v="0.10000000000000002"/>
    <n v="428824.8"/>
    <s v="Transfer"/>
    <x v="3"/>
    <d v="2023-09-22T00:00:00"/>
    <x v="8"/>
    <s v="REP-01"/>
  </r>
  <r>
    <s v="ORD-0119"/>
    <x v="14"/>
    <x v="2"/>
    <s v="Electronics"/>
    <x v="1"/>
    <s v="Jos"/>
    <n v="13"/>
    <n v="14120"/>
    <n v="183560"/>
    <n v="0.05"/>
    <n v="174382"/>
    <s v="Card"/>
    <x v="1"/>
    <d v="2023-07-15T00:00:00"/>
    <x v="6"/>
    <s v="REP-06"/>
  </r>
  <r>
    <s v="ORD-0590"/>
    <x v="11"/>
    <x v="0"/>
    <s v="Accessories"/>
    <x v="4"/>
    <s v="Enugu"/>
    <n v="14"/>
    <n v="31050"/>
    <n v="434700"/>
    <n v="0.1"/>
    <n v="391230"/>
    <s v="Transfer"/>
    <x v="2"/>
    <d v="2023-08-02T00:00:00"/>
    <x v="0"/>
    <s v="REP-07"/>
  </r>
  <r>
    <s v="ORD-0292"/>
    <x v="13"/>
    <x v="5"/>
    <s v="Electronics"/>
    <x v="2"/>
    <s v="Onitsha"/>
    <n v="11"/>
    <n v="356020"/>
    <n v="3916220"/>
    <n v="0.1"/>
    <n v="3524598"/>
    <s v="Unknown"/>
    <x v="2"/>
    <d v="2023-07-02T00:00:00"/>
    <x v="6"/>
    <s v="REP-03"/>
  </r>
  <r>
    <s v="ORD-0381"/>
    <x v="3"/>
    <x v="9"/>
    <s v="Electronics"/>
    <x v="4"/>
    <s v="Abeokuta"/>
    <n v="2"/>
    <n v="61165"/>
    <n v="122330"/>
    <n v="0.1"/>
    <n v="110097"/>
    <s v="Unknown"/>
    <x v="2"/>
    <d v="2023-10-28T00:00:00"/>
    <x v="3"/>
    <s v="REP-05"/>
  </r>
  <r>
    <s v="ORD-0213"/>
    <x v="3"/>
    <x v="4"/>
    <s v="Accessory"/>
    <x v="3"/>
    <s v="Abuja"/>
    <n v="15"/>
    <n v="53637"/>
    <n v="804555"/>
    <n v="0"/>
    <n v="804555"/>
    <s v="Card"/>
    <x v="3"/>
    <d v="2023-05-13T00:00:00"/>
    <x v="5"/>
    <s v="REP-10"/>
  </r>
  <r>
    <s v="ORD-0141"/>
    <x v="17"/>
    <x v="1"/>
    <s v="Accessory"/>
    <x v="4"/>
    <s v="Abeokuta"/>
    <n v="10"/>
    <n v="55052"/>
    <n v="550520"/>
    <n v="0.2"/>
    <n v="440416"/>
    <s v="Card"/>
    <x v="2"/>
    <d v="2023-05-10T00:00:00"/>
    <x v="5"/>
    <s v="REP-05"/>
  </r>
  <r>
    <s v="ORD-0389"/>
    <x v="13"/>
    <x v="8"/>
    <s v="Accessories"/>
    <x v="3"/>
    <s v="Kano"/>
    <n v="5"/>
    <n v="8113"/>
    <n v="40565"/>
    <n v="0.15"/>
    <n v="34480.25"/>
    <s v="Cash"/>
    <x v="3"/>
    <d v="2023-06-01T00:00:00"/>
    <x v="10"/>
    <s v="REP-05"/>
  </r>
  <r>
    <s v="ORD-0323"/>
    <x v="9"/>
    <x v="5"/>
    <s v="Electronics"/>
    <x v="3"/>
    <s v="Abuja"/>
    <n v="13"/>
    <n v="168207"/>
    <n v="2186691"/>
    <n v="0.19999999999999998"/>
    <n v="1749352.8"/>
    <s v="Card"/>
    <x v="3"/>
    <d v="2023-06-08T00:00:00"/>
    <x v="10"/>
    <s v="REP-03"/>
  </r>
  <r>
    <s v="ORD-0219"/>
    <x v="1"/>
    <x v="1"/>
    <s v="Electronics"/>
    <x v="1"/>
    <s v="Lokoja"/>
    <n v="11"/>
    <n v="38728"/>
    <n v="426008"/>
    <n v="0.15000000000000002"/>
    <n v="362106.8"/>
    <s v="Card"/>
    <x v="0"/>
    <d v="2023-05-03T00:00:00"/>
    <x v="5"/>
    <s v="REP-09"/>
  </r>
  <r>
    <s v="ORD-0463"/>
    <x v="0"/>
    <x v="0"/>
    <s v="Accessories"/>
    <x v="3"/>
    <s v="Abuja"/>
    <n v="13"/>
    <n v="36862"/>
    <n v="479206"/>
    <n v="0"/>
    <n v="479206"/>
    <s v="POS"/>
    <x v="2"/>
    <d v="2023-06-25T00:00:00"/>
    <x v="10"/>
    <s v="REP-02"/>
  </r>
  <r>
    <s v="ORD-0512"/>
    <x v="16"/>
    <x v="7"/>
    <s v="Electronics"/>
    <x v="0"/>
    <s v="Lagos"/>
    <n v="11"/>
    <n v="446480"/>
    <n v="4911280"/>
    <n v="0.05"/>
    <n v="4665716"/>
    <s v="Card"/>
    <x v="3"/>
    <d v="2023-10-07T00:00:00"/>
    <x v="3"/>
    <s v="REP-05"/>
  </r>
  <r>
    <s v="ORD-0336"/>
    <x v="8"/>
    <x v="0"/>
    <s v="Accessories"/>
    <x v="3"/>
    <s v="Abuja"/>
    <n v="8"/>
    <n v="38081"/>
    <n v="304648"/>
    <n v="0.2"/>
    <n v="243718.39999999999"/>
    <s v="Transfer"/>
    <x v="1"/>
    <d v="2023-07-28T00:00:00"/>
    <x v="6"/>
    <s v="REP-06"/>
  </r>
  <r>
    <s v="ORD-0007"/>
    <x v="20"/>
    <x v="0"/>
    <s v="Accessory"/>
    <x v="0"/>
    <s v="Benin"/>
    <n v="18"/>
    <n v="37087"/>
    <n v="667566"/>
    <n v="5.0000000000000072E-2"/>
    <n v="634187.69999999995"/>
    <s v="Transfer"/>
    <x v="2"/>
    <d v="2023-11-11T00:00:00"/>
    <x v="7"/>
    <s v="REP-01"/>
  </r>
  <r>
    <s v="ORD-0105"/>
    <x v="5"/>
    <x v="6"/>
    <s v="Electronics"/>
    <x v="2"/>
    <s v="Enugu"/>
    <n v="2"/>
    <n v="358739"/>
    <n v="717478"/>
    <n v="0.10000000000000006"/>
    <n v="645730.19999999995"/>
    <s v="POS"/>
    <x v="3"/>
    <d v="2023-07-11T00:00:00"/>
    <x v="6"/>
    <s v="REP-10"/>
  </r>
  <r>
    <s v="ORD-0115"/>
    <x v="3"/>
    <x v="4"/>
    <s v="Accessories"/>
    <x v="0"/>
    <s v="Port Harcourt"/>
    <n v="18"/>
    <n v="12861"/>
    <n v="231498"/>
    <n v="0.20000000000000004"/>
    <n v="185198.4"/>
    <s v="Transfer"/>
    <x v="3"/>
    <d v="2023-07-12T00:00:00"/>
    <x v="6"/>
    <s v="REP-07"/>
  </r>
  <r>
    <s v="ORD-0534"/>
    <x v="13"/>
    <x v="9"/>
    <s v="Electronics"/>
    <x v="0"/>
    <s v="Benin"/>
    <n v="18"/>
    <n v="50916"/>
    <n v="916488"/>
    <n v="0.19999999999999998"/>
    <n v="733190.4"/>
    <s v="Card"/>
    <x v="0"/>
    <d v="2023-08-10T00:00:00"/>
    <x v="0"/>
    <s v="REP-03"/>
  </r>
  <r>
    <s v="ORD-0185"/>
    <x v="11"/>
    <x v="4"/>
    <s v="Accessories"/>
    <x v="2"/>
    <s v="Onitsha"/>
    <n v="20"/>
    <n v="68462"/>
    <n v="1369240"/>
    <n v="0.05"/>
    <n v="1300778"/>
    <s v="Transfer"/>
    <x v="2"/>
    <d v="2023-05-25T00:00:00"/>
    <x v="5"/>
    <s v="REP-05"/>
  </r>
  <r>
    <s v="ORD-0239"/>
    <x v="8"/>
    <x v="1"/>
    <s v="Electronics"/>
    <x v="2"/>
    <s v="Aba"/>
    <n v="6"/>
    <n v="57198"/>
    <n v="343188"/>
    <n v="9.9999999999999964E-2"/>
    <n v="308869.2"/>
    <s v="POS"/>
    <x v="2"/>
    <d v="2023-06-13T00:00:00"/>
    <x v="10"/>
    <s v="REP-05"/>
  </r>
  <r>
    <s v="ORD-0517"/>
    <x v="20"/>
    <x v="2"/>
    <s v="Electronics"/>
    <x v="0"/>
    <s v="Port Harcourt"/>
    <n v="2"/>
    <n v="393425"/>
    <n v="786850"/>
    <n v="0.05"/>
    <n v="747507.5"/>
    <s v="Transfer"/>
    <x v="3"/>
    <d v="2023-02-25T00:00:00"/>
    <x v="9"/>
    <s v="REP-05"/>
  </r>
  <r>
    <s v="ORD-0437"/>
    <x v="1"/>
    <x v="2"/>
    <s v="Electronics"/>
    <x v="1"/>
    <s v="Makurdi"/>
    <n v="9"/>
    <n v="36082"/>
    <n v="324738"/>
    <n v="9.9999999999999964E-2"/>
    <n v="292264.2"/>
    <s v="Transfer"/>
    <x v="0"/>
    <d v="2023-03-16T00:00:00"/>
    <x v="2"/>
    <s v="REP-07"/>
  </r>
  <r>
    <s v="ORD-0341"/>
    <x v="16"/>
    <x v="6"/>
    <s v="Electronics"/>
    <x v="4"/>
    <s v="Osogbo"/>
    <n v="12"/>
    <n v="415979"/>
    <n v="4991748"/>
    <n v="9.9999999999999964E-2"/>
    <n v="4492573.2"/>
    <s v="Card"/>
    <x v="0"/>
    <d v="2023-02-16T00:00:00"/>
    <x v="9"/>
    <s v="REP-03"/>
  </r>
  <r>
    <s v="ORD-0424"/>
    <x v="5"/>
    <x v="1"/>
    <s v="Electronics"/>
    <x v="3"/>
    <s v="Kano"/>
    <n v="7"/>
    <n v="72915"/>
    <n v="510405"/>
    <n v="0.1"/>
    <n v="459364.5"/>
    <s v="Card"/>
    <x v="2"/>
    <d v="2023-02-11T00:00:00"/>
    <x v="9"/>
    <s v="REP-06"/>
  </r>
  <r>
    <s v="ORD-0303"/>
    <x v="12"/>
    <x v="4"/>
    <s v="Accessories"/>
    <x v="1"/>
    <s v="Lokoja"/>
    <n v="8"/>
    <n v="8840"/>
    <n v="70720"/>
    <n v="0.1"/>
    <n v="63648"/>
    <s v="Transfer"/>
    <x v="2"/>
    <d v="2023-04-03T00:00:00"/>
    <x v="1"/>
    <s v="REP-04"/>
  </r>
  <r>
    <s v="ORD-0564"/>
    <x v="9"/>
    <x v="5"/>
    <s v="Electronics"/>
    <x v="1"/>
    <s v="Jos"/>
    <n v="13"/>
    <n v="391753"/>
    <n v="5092789"/>
    <n v="5.0000000000000037E-2"/>
    <n v="4838149.55"/>
    <s v="Transfer"/>
    <x v="2"/>
    <d v="2023-06-18T00:00:00"/>
    <x v="10"/>
    <s v="REP-01"/>
  </r>
  <r>
    <s v="ORD-0396"/>
    <x v="4"/>
    <x v="7"/>
    <s v="Electronics"/>
    <x v="1"/>
    <s v="Lokoja"/>
    <n v="15"/>
    <n v="487995"/>
    <n v="7319925"/>
    <n v="0.2"/>
    <n v="5855940"/>
    <s v="Cash"/>
    <x v="0"/>
    <d v="2023-07-02T00:00:00"/>
    <x v="6"/>
    <s v="REP-10"/>
  </r>
  <r>
    <s v="ORD-0297"/>
    <x v="5"/>
    <x v="9"/>
    <s v="Accessories"/>
    <x v="3"/>
    <s v="Kaduna"/>
    <n v="2"/>
    <n v="34135"/>
    <n v="68270"/>
    <n v="0.05"/>
    <n v="64856.5"/>
    <s v="Transfer"/>
    <x v="3"/>
    <d v="2023-10-19T00:00:00"/>
    <x v="3"/>
    <s v="REP-05"/>
  </r>
  <r>
    <s v="ORD-0486"/>
    <x v="3"/>
    <x v="6"/>
    <s v="Electronics"/>
    <x v="4"/>
    <s v="Ibadan"/>
    <n v="5"/>
    <n v="220711"/>
    <n v="1103555"/>
    <n v="0.15"/>
    <n v="938021.75"/>
    <s v="POS"/>
    <x v="1"/>
    <d v="2023-11-19T00:00:00"/>
    <x v="7"/>
    <s v="REP-04"/>
  </r>
  <r>
    <s v="ORD-0043"/>
    <x v="11"/>
    <x v="5"/>
    <s v="Electronics"/>
    <x v="1"/>
    <s v="Makurdi"/>
    <n v="20"/>
    <n v="325735"/>
    <n v="6514700"/>
    <n v="0"/>
    <n v="6514700"/>
    <s v="Transfer"/>
    <x v="2"/>
    <d v="2023-11-19T00:00:00"/>
    <x v="7"/>
    <s v="REP-01"/>
  </r>
  <r>
    <s v="ORD-0074"/>
    <x v="11"/>
    <x v="0"/>
    <s v="Accessories"/>
    <x v="0"/>
    <s v="Port Harcourt"/>
    <n v="14"/>
    <n v="20043"/>
    <n v="280602"/>
    <n v="0.19999999999999998"/>
    <n v="224481.6"/>
    <s v="Card"/>
    <x v="0"/>
    <d v="2023-03-03T00:00:00"/>
    <x v="2"/>
    <s v="REP-01"/>
  </r>
  <r>
    <s v="ORD-0546"/>
    <x v="0"/>
    <x v="5"/>
    <s v="Electronics"/>
    <x v="1"/>
    <s v="Makurdi"/>
    <n v="10"/>
    <n v="377922"/>
    <n v="3779220"/>
    <n v="0.1"/>
    <n v="3401298"/>
    <s v="Cash"/>
    <x v="1"/>
    <d v="2023-03-28T00:00:00"/>
    <x v="2"/>
    <s v="REP-05"/>
  </r>
  <r>
    <s v="ORD-0067"/>
    <x v="2"/>
    <x v="4"/>
    <s v="Accessories"/>
    <x v="0"/>
    <s v="Benin"/>
    <n v="10"/>
    <n v="6854"/>
    <n v="68540"/>
    <n v="0.2"/>
    <n v="54832"/>
    <s v="Cash"/>
    <x v="3"/>
    <d v="2023-10-09T00:00:00"/>
    <x v="3"/>
    <s v="REP-03"/>
  </r>
  <r>
    <s v="ORD-0012"/>
    <x v="20"/>
    <x v="4"/>
    <s v="Accessories"/>
    <x v="3"/>
    <s v="Kano"/>
    <n v="10"/>
    <n v="61985"/>
    <n v="619850"/>
    <n v="0.05"/>
    <n v="588857.5"/>
    <s v="Transfer"/>
    <x v="2"/>
    <d v="2023-04-09T00:00:00"/>
    <x v="1"/>
    <s v="REP-05"/>
  </r>
  <r>
    <s v="ORD-0213"/>
    <x v="3"/>
    <x v="4"/>
    <s v="Accessories"/>
    <x v="3"/>
    <s v="Abuja"/>
    <n v="15"/>
    <n v="53637"/>
    <n v="804555"/>
    <n v="0"/>
    <n v="804555"/>
    <s v="Card"/>
    <x v="3"/>
    <d v="2023-05-13T00:00:00"/>
    <x v="5"/>
    <s v="REP-10"/>
  </r>
  <r>
    <s v="ORD-0593"/>
    <x v="2"/>
    <x v="2"/>
    <s v="Electronics"/>
    <x v="3"/>
    <s v="Kano"/>
    <n v="19"/>
    <n v="12818"/>
    <n v="243542"/>
    <n v="0.10000000000000005"/>
    <n v="219187.8"/>
    <s v="POS"/>
    <x v="1"/>
    <d v="2023-06-07T00:00:00"/>
    <x v="10"/>
    <s v="REP-06"/>
  </r>
  <r>
    <s v="ORD-0421"/>
    <x v="16"/>
    <x v="8"/>
    <s v="Accessories"/>
    <x v="0"/>
    <s v="Lagos"/>
    <n v="4"/>
    <n v="35116"/>
    <n v="140464"/>
    <n v="0.15000000000000005"/>
    <n v="119394.4"/>
    <s v="Card"/>
    <x v="1"/>
    <d v="2023-06-26T00:00:00"/>
    <x v="10"/>
    <s v="REP-09"/>
  </r>
  <r>
    <s v="ORD-0400"/>
    <x v="6"/>
    <x v="5"/>
    <s v="Electronics"/>
    <x v="4"/>
    <s v="Ibadan"/>
    <n v="18"/>
    <n v="207059"/>
    <n v="3727062"/>
    <n v="5.0000000000000024E-2"/>
    <n v="3540708.9"/>
    <s v="Transfer"/>
    <x v="2"/>
    <d v="2023-07-09T00:00:00"/>
    <x v="6"/>
    <s v="REP-05"/>
  </r>
  <r>
    <s v="ORD-0357"/>
    <x v="19"/>
    <x v="1"/>
    <s v="Electronics"/>
    <x v="2"/>
    <s v="Enugu"/>
    <n v="9"/>
    <n v="65853"/>
    <n v="592677"/>
    <n v="0"/>
    <n v="592677"/>
    <s v="Cash"/>
    <x v="0"/>
    <d v="2023-06-26T00:00:00"/>
    <x v="10"/>
    <s v="REP-06"/>
  </r>
  <r>
    <s v="ORD-0084"/>
    <x v="6"/>
    <x v="1"/>
    <s v="Electronics"/>
    <x v="1"/>
    <s v="Makurdi"/>
    <n v="5"/>
    <n v="55277"/>
    <n v="276385"/>
    <n v="0.05"/>
    <n v="262565.75"/>
    <s v="Card"/>
    <x v="3"/>
    <d v="2023-05-25T00:00:00"/>
    <x v="5"/>
    <s v="REP-07"/>
  </r>
  <r>
    <s v="ORD-0288"/>
    <x v="7"/>
    <x v="3"/>
    <s v="Accessories"/>
    <x v="1"/>
    <s v="Jos"/>
    <n v="8"/>
    <n v="24735"/>
    <n v="197880"/>
    <n v="0"/>
    <n v="197880"/>
    <s v="Card"/>
    <x v="0"/>
    <d v="2023-11-27T00:00:00"/>
    <x v="7"/>
    <s v="REP-01"/>
  </r>
  <r>
    <s v="ORD-0370"/>
    <x v="20"/>
    <x v="3"/>
    <s v="Accessories"/>
    <x v="0"/>
    <s v="Lagos"/>
    <n v="4"/>
    <n v="56497"/>
    <n v="225988"/>
    <n v="4.9999999999999975E-2"/>
    <n v="214688.6"/>
    <s v="Transfer"/>
    <x v="3"/>
    <d v="2023-02-07T00:00:00"/>
    <x v="9"/>
    <s v="REP-10"/>
  </r>
  <r>
    <s v="ORD-0080"/>
    <x v="3"/>
    <x v="4"/>
    <s v="Accessories"/>
    <x v="3"/>
    <s v="Kaduna"/>
    <n v="13"/>
    <n v="72449"/>
    <n v="941837"/>
    <n v="0"/>
    <n v="941837"/>
    <s v="POS"/>
    <x v="3"/>
    <d v="2023-04-17T00:00:00"/>
    <x v="1"/>
    <s v="REP-06"/>
  </r>
  <r>
    <s v="ORD-0024"/>
    <x v="1"/>
    <x v="7"/>
    <s v="Electronics"/>
    <x v="2"/>
    <s v="Aba"/>
    <n v="2"/>
    <n v="176289"/>
    <n v="352578"/>
    <n v="0.19999999999999993"/>
    <n v="282062.40000000002"/>
    <s v="Card"/>
    <x v="3"/>
    <d v="2023-03-09T00:00:00"/>
    <x v="2"/>
    <s v="REP-03"/>
  </r>
  <r>
    <s v="ORD-0584"/>
    <x v="2"/>
    <x v="5"/>
    <s v="Electronics"/>
    <x v="4"/>
    <s v="Osogbo"/>
    <n v="16"/>
    <n v="216528"/>
    <n v="3464448"/>
    <n v="4.9999999999999975E-2"/>
    <n v="3291225.6"/>
    <s v="Transfer"/>
    <x v="1"/>
    <d v="2023-08-07T00:00:00"/>
    <x v="0"/>
    <s v="REP-03"/>
  </r>
  <r>
    <s v="ORD-0311"/>
    <x v="2"/>
    <x v="0"/>
    <s v="Electronics"/>
    <x v="0"/>
    <s v="Benin"/>
    <n v="19"/>
    <n v="18645"/>
    <n v="354255"/>
    <n v="0.15"/>
    <n v="301116.75"/>
    <s v="Cash"/>
    <x v="2"/>
    <d v="2023-11-06T00:00:00"/>
    <x v="7"/>
    <s v="REP-03"/>
  </r>
  <r>
    <s v="ORD-0589"/>
    <x v="17"/>
    <x v="6"/>
    <s v="Electronics"/>
    <x v="0"/>
    <s v="Lagos"/>
    <n v="6"/>
    <n v="165238"/>
    <n v="991428"/>
    <n v="0.14999999999999997"/>
    <n v="842713.8"/>
    <s v="Cash"/>
    <x v="2"/>
    <d v="2023-12-15T00:00:00"/>
    <x v="4"/>
    <s v="REP-10"/>
  </r>
  <r>
    <s v="ORD-0197"/>
    <x v="15"/>
    <x v="7"/>
    <s v="Electronics"/>
    <x v="3"/>
    <s v="Abuja"/>
    <n v="6"/>
    <n v="777135"/>
    <n v="4662810"/>
    <n v="0.05"/>
    <n v="4429669.5"/>
    <s v="Transfer"/>
    <x v="3"/>
    <d v="2023-10-11T00:00:00"/>
    <x v="3"/>
    <s v="REP-06"/>
  </r>
  <r>
    <s v="ORD-0482"/>
    <x v="0"/>
    <x v="8"/>
    <s v="Accessories"/>
    <x v="3"/>
    <s v="Kaduna"/>
    <n v="2"/>
    <n v="48829"/>
    <n v="97658"/>
    <n v="0.10000000000000003"/>
    <n v="87892.2"/>
    <s v="Cash"/>
    <x v="2"/>
    <d v="2023-12-21T00:00:00"/>
    <x v="4"/>
    <s v="REP-10"/>
  </r>
  <r>
    <s v="ORD-0260"/>
    <x v="12"/>
    <x v="2"/>
    <s v="Electronics"/>
    <x v="1"/>
    <s v="Makurdi"/>
    <n v="5"/>
    <n v="32082"/>
    <n v="160410"/>
    <n v="0.05"/>
    <n v="152389.5"/>
    <s v="Transfer"/>
    <x v="0"/>
    <d v="2023-10-18T00:00:00"/>
    <x v="3"/>
    <s v="REP-03"/>
  </r>
  <r>
    <s v="ORDER-37"/>
    <x v="8"/>
    <x v="3"/>
    <s v="Accessories"/>
    <x v="0"/>
    <s v="Lagos"/>
    <n v="5"/>
    <n v="25308"/>
    <n v="126540"/>
    <n v="0"/>
    <n v="126540"/>
    <s v="Cash"/>
    <x v="0"/>
    <d v="2023-05-10T00:00:00"/>
    <x v="5"/>
    <s v="REP-10"/>
  </r>
  <r>
    <s v="ORD-0232"/>
    <x v="19"/>
    <x v="8"/>
    <s v="Accessories"/>
    <x v="0"/>
    <s v="Lagos"/>
    <n v="13"/>
    <n v="46507"/>
    <n v="604591"/>
    <n v="9.9999999999999964E-2"/>
    <n v="544131.9"/>
    <s v="Cash"/>
    <x v="0"/>
    <d v="2023-12-08T00:00:00"/>
    <x v="4"/>
    <s v="REP-05"/>
  </r>
  <r>
    <s v="ORD-0306"/>
    <x v="11"/>
    <x v="2"/>
    <s v="Electronics"/>
    <x v="4"/>
    <s v="Osogbo"/>
    <n v="2"/>
    <n v="16830"/>
    <n v="33660"/>
    <n v="0"/>
    <n v="33660"/>
    <s v="Card"/>
    <x v="3"/>
    <d v="2023-09-16T00:00:00"/>
    <x v="8"/>
    <s v="REP-01"/>
  </r>
  <r>
    <s v="ORD-0178"/>
    <x v="12"/>
    <x v="3"/>
    <s v="Accessories"/>
    <x v="1"/>
    <s v="Jos"/>
    <n v="17"/>
    <n v="57610"/>
    <n v="979370"/>
    <n v="0.2"/>
    <n v="783496"/>
    <s v="Cash"/>
    <x v="2"/>
    <d v="2023-11-12T00:00:00"/>
    <x v="7"/>
    <s v="REP-08"/>
  </r>
  <r>
    <s v="ORD-0010"/>
    <x v="12"/>
    <x v="3"/>
    <s v="Accessories"/>
    <x v="0"/>
    <s v="Lagos"/>
    <n v="17"/>
    <n v="69686"/>
    <n v="1184662"/>
    <n v="0"/>
    <n v="1184662"/>
    <s v="Card"/>
    <x v="2"/>
    <d v="2023-11-14T00:00:00"/>
    <x v="7"/>
    <s v="REP-10"/>
  </r>
  <r>
    <s v="ORD-0204"/>
    <x v="4"/>
    <x v="4"/>
    <s v="Accessories"/>
    <x v="4"/>
    <s v="Osogbo"/>
    <n v="15"/>
    <n v="54479"/>
    <n v="817185"/>
    <n v="0.15"/>
    <n v="694607.25"/>
    <s v="Card"/>
    <x v="0"/>
    <d v="2023-06-02T00:00:00"/>
    <x v="10"/>
    <s v="REP-09"/>
  </r>
  <r>
    <s v="ORD-0514"/>
    <x v="0"/>
    <x v="6"/>
    <s v="Electronics"/>
    <x v="3"/>
    <s v="Abuja"/>
    <n v="20"/>
    <n v="408718"/>
    <n v="8174360"/>
    <n v="0.05"/>
    <n v="7765642"/>
    <s v="POS"/>
    <x v="1"/>
    <d v="2023-07-15T00:00:00"/>
    <x v="6"/>
    <s v="REP-02"/>
  </r>
  <r>
    <s v="ORD-0329"/>
    <x v="10"/>
    <x v="4"/>
    <s v="Accessories"/>
    <x v="3"/>
    <s v="Kaduna"/>
    <n v="11"/>
    <n v="44722"/>
    <n v="491942"/>
    <n v="0.10000000000000002"/>
    <n v="442747.8"/>
    <s v="Cash"/>
    <x v="2"/>
    <d v="2023-10-03T00:00:00"/>
    <x v="3"/>
    <s v="REP-08"/>
  </r>
  <r>
    <s v="ORD-0573"/>
    <x v="1"/>
    <x v="9"/>
    <s v="Electronics"/>
    <x v="1"/>
    <s v="Jos"/>
    <n v="8"/>
    <n v="5433"/>
    <n v="43464"/>
    <n v="0.14999999999999997"/>
    <n v="36944.400000000001"/>
    <s v="Transfer"/>
    <x v="0"/>
    <d v="2023-10-11T00:00:00"/>
    <x v="3"/>
    <s v="REP-07"/>
  </r>
  <r>
    <s v="ORD-0272"/>
    <x v="19"/>
    <x v="8"/>
    <s v="Accessories"/>
    <x v="1"/>
    <s v="Jos"/>
    <n v="15"/>
    <n v="33474"/>
    <n v="502110"/>
    <n v="0"/>
    <n v="502110"/>
    <s v="Cash"/>
    <x v="1"/>
    <d v="2023-06-14T00:00:00"/>
    <x v="10"/>
    <s v="REP-06"/>
  </r>
  <r>
    <s v="ORD-0085"/>
    <x v="8"/>
    <x v="4"/>
    <s v="Accessories"/>
    <x v="1"/>
    <s v="Makurdi"/>
    <n v="9"/>
    <n v="5336"/>
    <n v="48024"/>
    <n v="0.10000000000000003"/>
    <n v="43221.599999999999"/>
    <s v="POS"/>
    <x v="2"/>
    <d v="2023-08-18T00:00:00"/>
    <x v="0"/>
    <s v="REP-08"/>
  </r>
  <r>
    <s v="ORD-0182"/>
    <x v="11"/>
    <x v="1"/>
    <s v="Electronics"/>
    <x v="0"/>
    <s v="Lagos"/>
    <n v="17"/>
    <n v="54832"/>
    <n v="932144"/>
    <n v="4.9999999999999947E-2"/>
    <n v="885536.8"/>
    <s v="Cash"/>
    <x v="2"/>
    <d v="2023-01-15T00:00:00"/>
    <x v="11"/>
    <s v="REP-06"/>
  </r>
  <r>
    <s v="ORD-0347"/>
    <x v="12"/>
    <x v="8"/>
    <s v="Accessories"/>
    <x v="4"/>
    <s v="Osogbo"/>
    <n v="16"/>
    <n v="55242"/>
    <n v="883872"/>
    <n v="0"/>
    <n v="883872"/>
    <s v="Card"/>
    <x v="0"/>
    <d v="2023-11-01T00:00:00"/>
    <x v="7"/>
    <s v="REP-09"/>
  </r>
  <r>
    <s v="ORD-0447"/>
    <x v="16"/>
    <x v="2"/>
    <s v="Electronics"/>
    <x v="0"/>
    <s v="Benin"/>
    <n v="9"/>
    <n v="15494"/>
    <n v="139446"/>
    <n v="4.999999999999992E-2"/>
    <n v="132473.70000000001"/>
    <s v="Cash"/>
    <x v="3"/>
    <d v="2023-02-16T00:00:00"/>
    <x v="9"/>
    <s v="REP-09"/>
  </r>
  <r>
    <s v="ORD-0519"/>
    <x v="5"/>
    <x v="4"/>
    <s v="Accessories"/>
    <x v="1"/>
    <s v="Makurdi"/>
    <n v="14"/>
    <n v="73766"/>
    <n v="1032724"/>
    <n v="4.9999999999999954E-2"/>
    <n v="981087.8"/>
    <s v="Cash"/>
    <x v="3"/>
    <d v="2023-10-24T00:00:00"/>
    <x v="3"/>
    <s v="REP-09"/>
  </r>
  <r>
    <s v="ORD-0504"/>
    <x v="7"/>
    <x v="2"/>
    <s v="Electronics"/>
    <x v="0"/>
    <s v="Lagos"/>
    <n v="7"/>
    <n v="34658"/>
    <n v="242606"/>
    <n v="0"/>
    <n v="242606"/>
    <s v="Transfer"/>
    <x v="1"/>
    <d v="2023-04-24T00:00:00"/>
    <x v="1"/>
    <s v="REP-04"/>
  </r>
  <r>
    <s v="ORD-0250"/>
    <x v="16"/>
    <x v="5"/>
    <s v="Electronics"/>
    <x v="3"/>
    <s v="Kaduna"/>
    <n v="19"/>
    <n v="203347"/>
    <n v="3863593"/>
    <n v="0.2"/>
    <n v="3090874.4"/>
    <s v="Transfer"/>
    <x v="2"/>
    <d v="2023-04-08T00:00:00"/>
    <x v="1"/>
    <s v="REP-05"/>
  </r>
  <r>
    <s v="ORD-0179"/>
    <x v="2"/>
    <x v="6"/>
    <s v="Electronics"/>
    <x v="4"/>
    <s v="Abeokuta"/>
    <n v="5"/>
    <n v="467855"/>
    <n v="2339275"/>
    <n v="0.2"/>
    <n v="1871420"/>
    <s v="Transfer"/>
    <x v="2"/>
    <d v="2023-07-20T00:00:00"/>
    <x v="6"/>
    <s v="REP-05"/>
  </r>
  <r>
    <s v="ORD-0221"/>
    <x v="20"/>
    <x v="9"/>
    <s v="Electronics"/>
    <x v="0"/>
    <s v="Benin"/>
    <n v="1"/>
    <n v="33668"/>
    <n v="33668"/>
    <n v="0.19999999999999996"/>
    <n v="26934.400000000001"/>
    <s v="Cash"/>
    <x v="1"/>
    <d v="2023-11-16T00:00:00"/>
    <x v="7"/>
    <s v="REP-01"/>
  </r>
  <r>
    <s v="ORD-0154"/>
    <x v="18"/>
    <x v="8"/>
    <s v="Accessories"/>
    <x v="2"/>
    <s v="Aba"/>
    <n v="6"/>
    <n v="70038"/>
    <n v="420228"/>
    <n v="0.15000000000000002"/>
    <n v="357193.8"/>
    <s v="Transfer"/>
    <x v="3"/>
    <d v="2023-12-14T00:00:00"/>
    <x v="4"/>
    <s v="REP-02"/>
  </r>
  <r>
    <s v="ORD-0076"/>
    <x v="6"/>
    <x v="6"/>
    <s v="Electronics"/>
    <x v="1"/>
    <s v="Jos"/>
    <n v="16"/>
    <n v="379511"/>
    <n v="6072176"/>
    <n v="0"/>
    <n v="6072176"/>
    <s v="POS"/>
    <x v="0"/>
    <d v="2023-09-10T00:00:00"/>
    <x v="8"/>
    <s v="REP-01"/>
  </r>
  <r>
    <s v="ORD-0093"/>
    <x v="2"/>
    <x v="8"/>
    <s v="Accessories"/>
    <x v="1"/>
    <s v="Jos"/>
    <n v="8"/>
    <n v="70230"/>
    <n v="561840"/>
    <n v="0.2"/>
    <n v="449472"/>
    <s v="POS"/>
    <x v="0"/>
    <d v="2023-09-08T00:00:00"/>
    <x v="8"/>
    <s v="REP-01"/>
  </r>
  <r>
    <s v="ORD-0500"/>
    <x v="19"/>
    <x v="2"/>
    <s v="Electronics"/>
    <x v="2"/>
    <s v="Enugu"/>
    <n v="3"/>
    <n v="78051"/>
    <n v="234153"/>
    <n v="0.2"/>
    <n v="187322.4"/>
    <s v="Transfer"/>
    <x v="2"/>
    <d v="2023-01-12T00:00:00"/>
    <x v="11"/>
    <s v="REP-06"/>
  </r>
  <r>
    <s v="ORD-0069"/>
    <x v="9"/>
    <x v="9"/>
    <s v="Electronics"/>
    <x v="3"/>
    <s v="Abuja"/>
    <n v="13"/>
    <n v="69454"/>
    <n v="902902"/>
    <n v="0"/>
    <n v="902902"/>
    <s v="Cash"/>
    <x v="2"/>
    <d v="2023-03-26T00:00:00"/>
    <x v="2"/>
    <s v="REP-10"/>
  </r>
  <r>
    <s v="ORD-0016"/>
    <x v="20"/>
    <x v="5"/>
    <s v="Electronics"/>
    <x v="4"/>
    <s v="Ibadan"/>
    <n v="12"/>
    <n v="379690"/>
    <n v="4556280"/>
    <n v="0.2"/>
    <n v="3645024"/>
    <s v="Card"/>
    <x v="2"/>
    <d v="2023-11-02T00:00:00"/>
    <x v="7"/>
    <s v="REP-01"/>
  </r>
  <r>
    <s v="ORD-0200"/>
    <x v="2"/>
    <x v="6"/>
    <s v="Electronics"/>
    <x v="1"/>
    <s v="Jos"/>
    <n v="7"/>
    <n v="450260"/>
    <n v="3151820"/>
    <n v="0.2"/>
    <n v="2521456"/>
    <s v="Transfer"/>
    <x v="1"/>
    <d v="2023-02-22T00:00:00"/>
    <x v="9"/>
    <s v="REP-04"/>
  </r>
  <r>
    <s v="ORD-0574"/>
    <x v="4"/>
    <x v="7"/>
    <s v="Electronics"/>
    <x v="3"/>
    <s v="Kaduna"/>
    <n v="12"/>
    <n v="430298"/>
    <n v="5163576"/>
    <n v="9.9999999999999922E-2"/>
    <n v="4647218.4000000004"/>
    <s v="Transfer"/>
    <x v="2"/>
    <d v="2023-03-18T00:00:00"/>
    <x v="2"/>
    <s v="REP-01"/>
  </r>
  <r>
    <s v="ORD-0089"/>
    <x v="15"/>
    <x v="9"/>
    <s v="Accessory"/>
    <x v="4"/>
    <s v="Osogbo"/>
    <n v="9"/>
    <n v="49375"/>
    <n v="444375"/>
    <n v="0.2"/>
    <n v="355500"/>
    <s v="Cash"/>
    <x v="0"/>
    <d v="2023-11-28T00:00:00"/>
    <x v="7"/>
    <s v="REP-09"/>
  </r>
  <r>
    <s v="ORD-0527"/>
    <x v="16"/>
    <x v="7"/>
    <s v="Electronics"/>
    <x v="3"/>
    <s v="Aba"/>
    <n v="13"/>
    <n v="478472"/>
    <n v="6220136"/>
    <n v="0.20000000000000004"/>
    <n v="4976108.8"/>
    <s v="POS"/>
    <x v="2"/>
    <d v="2023-04-10T00:00:00"/>
    <x v="1"/>
    <s v="REP-05"/>
  </r>
  <r>
    <s v="ORD-0118"/>
    <x v="16"/>
    <x v="0"/>
    <s v="Accessories"/>
    <x v="1"/>
    <s v="Lokoja"/>
    <n v="1"/>
    <n v="40054"/>
    <n v="40054"/>
    <n v="0"/>
    <n v="40054"/>
    <s v="Transfer"/>
    <x v="0"/>
    <d v="2023-01-06T00:00:00"/>
    <x v="11"/>
    <s v="REP-03"/>
  </r>
  <r>
    <s v="ORD-0425"/>
    <x v="15"/>
    <x v="3"/>
    <s v="Accessory"/>
    <x v="3"/>
    <s v="Kaduna"/>
    <n v="6"/>
    <n v="16382"/>
    <n v="98292"/>
    <n v="9.9999999999999964E-2"/>
    <n v="88462.8"/>
    <s v="POS"/>
    <x v="1"/>
    <d v="2023-07-10T00:00:00"/>
    <x v="6"/>
    <s v="REP-09"/>
  </r>
  <r>
    <s v="ORD-0451"/>
    <x v="18"/>
    <x v="0"/>
    <s v="Accessories"/>
    <x v="4"/>
    <s v="Abeokuta"/>
    <n v="9"/>
    <n v="141598.66666666666"/>
    <n v="1274388"/>
    <n v="0.10000000000000003"/>
    <n v="1146949.2"/>
    <s v="Card"/>
    <x v="3"/>
    <d v="2023-10-08T00:00:00"/>
    <x v="3"/>
    <s v="REP-06"/>
  </r>
  <r>
    <s v="ORD-0034"/>
    <x v="16"/>
    <x v="6"/>
    <s v="Electronics"/>
    <x v="4"/>
    <s v="Ibadan"/>
    <n v="20"/>
    <n v="231030"/>
    <n v="4620600"/>
    <n v="0.05"/>
    <n v="4389570"/>
    <s v="POS"/>
    <x v="3"/>
    <d v="2023-03-24T00:00:00"/>
    <x v="2"/>
    <s v="REP-06"/>
  </r>
  <r>
    <s v="ORD-0001"/>
    <x v="2"/>
    <x v="9"/>
    <s v="Electronics"/>
    <x v="3"/>
    <s v="Abuja"/>
    <n v="9"/>
    <n v="37098"/>
    <n v="333882"/>
    <n v="4.9999999999999933E-2"/>
    <n v="317187.90000000002"/>
    <s v="Cash"/>
    <x v="3"/>
    <d v="2023-10-14T00:00:00"/>
    <x v="3"/>
    <s v="REP-01"/>
  </r>
  <r>
    <s v="ORD-0209"/>
    <x v="2"/>
    <x v="0"/>
    <s v="Accessories"/>
    <x v="1"/>
    <s v="Makurdi"/>
    <n v="11"/>
    <n v="36051"/>
    <n v="396561"/>
    <n v="9.9999999999999936E-2"/>
    <n v="356904.9"/>
    <s v="Card"/>
    <x v="1"/>
    <d v="2023-09-05T00:00:00"/>
    <x v="8"/>
    <s v="REP-01"/>
  </r>
  <r>
    <s v="ORD-0382"/>
    <x v="0"/>
    <x v="7"/>
    <s v="Electronics"/>
    <x v="2"/>
    <s v="Onitsha"/>
    <n v="15"/>
    <n v="231162"/>
    <n v="3467430"/>
    <n v="0"/>
    <n v="3467430"/>
    <s v="Cash"/>
    <x v="0"/>
    <d v="2023-08-26T00:00:00"/>
    <x v="0"/>
    <s v="REP-10"/>
  </r>
  <r>
    <s v="ORD-0579"/>
    <x v="16"/>
    <x v="0"/>
    <s v="Accessories"/>
    <x v="3"/>
    <s v="Abuja"/>
    <n v="8"/>
    <n v="22109"/>
    <n v="176872"/>
    <n v="0"/>
    <n v="176872"/>
    <s v="Cash"/>
    <x v="0"/>
    <d v="2023-02-15T00:00:00"/>
    <x v="9"/>
    <s v="REP-10"/>
  </r>
  <r>
    <s v="ORD-0523"/>
    <x v="17"/>
    <x v="5"/>
    <s v="Electronics"/>
    <x v="2"/>
    <s v="Aba"/>
    <n v="3"/>
    <n v="311361"/>
    <n v="934083"/>
    <n v="0.10000000000000005"/>
    <n v="840674.7"/>
    <s v="Transfer"/>
    <x v="3"/>
    <d v="2023-02-22T00:00:00"/>
    <x v="9"/>
    <s v="REP-06"/>
  </r>
  <r>
    <s v="ORD-0278"/>
    <x v="4"/>
    <x v="0"/>
    <s v="Accessories"/>
    <x v="0"/>
    <s v="Port Harcourt"/>
    <n v="9"/>
    <n v="15957"/>
    <n v="143613"/>
    <n v="0.10000000000000002"/>
    <n v="129251.7"/>
    <s v="Card"/>
    <x v="2"/>
    <d v="2023-11-09T00:00:00"/>
    <x v="7"/>
    <s v="REP-07"/>
  </r>
  <r>
    <s v="ORD-0023"/>
    <x v="2"/>
    <x v="5"/>
    <s v="Electronics"/>
    <x v="4"/>
    <s v="Ibadan"/>
    <n v="18"/>
    <n v="497011"/>
    <n v="8946198"/>
    <n v="0.15000000000000002"/>
    <n v="7604268.2999999998"/>
    <s v="Transfer"/>
    <x v="2"/>
    <d v="2023-01-19T00:00:00"/>
    <x v="11"/>
    <s v="REP-09"/>
  </r>
  <r>
    <s v="ORD-0477"/>
    <x v="6"/>
    <x v="4"/>
    <s v="Accessories"/>
    <x v="2"/>
    <s v="Enugu"/>
    <n v="14"/>
    <n v="61438"/>
    <n v="860132"/>
    <n v="9.999999999999995E-2"/>
    <n v="774118.8"/>
    <s v="Card"/>
    <x v="1"/>
    <d v="2023-09-24T00:00:00"/>
    <x v="8"/>
    <s v="REP-05"/>
  </r>
  <r>
    <s v="ORD-0117"/>
    <x v="10"/>
    <x v="9"/>
    <s v="Electronics"/>
    <x v="2"/>
    <s v="Aba"/>
    <n v="18"/>
    <n v="53176"/>
    <n v="957168"/>
    <n v="0"/>
    <n v="957168"/>
    <s v="Card"/>
    <x v="1"/>
    <d v="2023-09-25T00:00:00"/>
    <x v="8"/>
    <s v="REP-10"/>
  </r>
  <r>
    <s v="ORD-0090"/>
    <x v="0"/>
    <x v="8"/>
    <s v="Accessories"/>
    <x v="2"/>
    <s v="Enugu"/>
    <n v="16"/>
    <n v="75912"/>
    <n v="1214592"/>
    <n v="0"/>
    <n v="1214592"/>
    <s v="Card"/>
    <x v="0"/>
    <d v="2023-04-24T00:00:00"/>
    <x v="1"/>
    <s v="REP-02"/>
  </r>
  <r>
    <s v="ORD-0183"/>
    <x v="17"/>
    <x v="8"/>
    <s v="Accessories"/>
    <x v="0"/>
    <s v="Port Harcourt"/>
    <n v="14"/>
    <n v="31724"/>
    <n v="444136"/>
    <n v="0.15000000000000005"/>
    <n v="377515.6"/>
    <s v="POS"/>
    <x v="3"/>
    <d v="2023-05-12T00:00:00"/>
    <x v="5"/>
    <s v="REP-09"/>
  </r>
  <r>
    <s v="ORD-0251"/>
    <x v="15"/>
    <x v="1"/>
    <s v="Electronics"/>
    <x v="1"/>
    <s v="Makurdi"/>
    <n v="11"/>
    <n v="55939"/>
    <n v="615329"/>
    <n v="0.19999999999999998"/>
    <n v="492263.2"/>
    <s v="Cash"/>
    <x v="0"/>
    <d v="2023-06-28T00:00:00"/>
    <x v="10"/>
    <s v="REP-08"/>
  </r>
  <r>
    <s v="ORD-0261"/>
    <x v="19"/>
    <x v="4"/>
    <s v="Accessories"/>
    <x v="2"/>
    <s v="Enugu"/>
    <n v="10"/>
    <n v="40041"/>
    <n v="400410"/>
    <n v="0.2"/>
    <n v="320328"/>
    <s v="POS"/>
    <x v="3"/>
    <d v="2023-05-28T00:00:00"/>
    <x v="5"/>
    <s v="REP-03"/>
  </r>
  <r>
    <s v="ORD-0019"/>
    <x v="18"/>
    <x v="8"/>
    <s v="Accessories"/>
    <x v="0"/>
    <s v="Benin"/>
    <n v="4"/>
    <n v="17704"/>
    <n v="70816"/>
    <n v="0.15000000000000002"/>
    <n v="60193.599999999999"/>
    <s v="POS"/>
    <x v="1"/>
    <d v="2023-02-12T00:00:00"/>
    <x v="9"/>
    <s v="REP-02"/>
  </r>
  <r>
    <s v="#1440"/>
    <x v="7"/>
    <x v="3"/>
    <s v="Accessories"/>
    <x v="0"/>
    <s v="Port Harcourt"/>
    <n v="8"/>
    <n v="32096"/>
    <n v="256768"/>
    <n v="9.999999999999995E-2"/>
    <n v="231091.20000000001"/>
    <s v="Cash"/>
    <x v="3"/>
    <d v="2023-05-08T00:00:00"/>
    <x v="5"/>
    <s v="REP-03"/>
  </r>
  <r>
    <s v="ORD-0355"/>
    <x v="1"/>
    <x v="8"/>
    <s v="Accessories"/>
    <x v="2"/>
    <s v="Enugu"/>
    <n v="6"/>
    <n v="10164"/>
    <n v="60984"/>
    <n v="0.20000000000000004"/>
    <n v="48787.199999999997"/>
    <s v="POS"/>
    <x v="0"/>
    <d v="2023-01-04T00:00:00"/>
    <x v="11"/>
    <s v="REP-01"/>
  </r>
  <r>
    <s v="ORD-0145"/>
    <x v="2"/>
    <x v="2"/>
    <s v="Electronics"/>
    <x v="0"/>
    <s v="Port Harcourt"/>
    <n v="2"/>
    <n v="42601"/>
    <n v="85202"/>
    <n v="0.15000000000000002"/>
    <n v="72421.7"/>
    <s v="POS"/>
    <x v="1"/>
    <d v="2023-01-10T00:00:00"/>
    <x v="11"/>
    <s v="REP-02"/>
  </r>
  <r>
    <s v="ORD-0312"/>
    <x v="5"/>
    <x v="9"/>
    <s v="Electronics"/>
    <x v="2"/>
    <s v="Enugu"/>
    <n v="15"/>
    <n v="6493"/>
    <n v="97395"/>
    <n v="0.1"/>
    <n v="87655.5"/>
    <s v="Unknown"/>
    <x v="0"/>
    <d v="2023-05-26T00:00:00"/>
    <x v="5"/>
    <s v="REP-02"/>
  </r>
  <r>
    <s v="ORD-0313"/>
    <x v="16"/>
    <x v="7"/>
    <s v="Electronics"/>
    <x v="3"/>
    <s v="Kaduna"/>
    <n v="13"/>
    <n v="379753"/>
    <n v="4936789"/>
    <n v="0.14999999999999991"/>
    <n v="4196270.6500000004"/>
    <s v="POS"/>
    <x v="1"/>
    <d v="2023-06-18T00:00:00"/>
    <x v="10"/>
    <s v="REP-07"/>
  </r>
  <r>
    <s v="ORD-0399"/>
    <x v="2"/>
    <x v="3"/>
    <s v="Accessories"/>
    <x v="0"/>
    <s v="Port Harcourt"/>
    <n v="14"/>
    <n v="41264"/>
    <n v="577696"/>
    <n v="9.9999999999999964E-2"/>
    <n v="519926.4"/>
    <s v="Transfer"/>
    <x v="1"/>
    <d v="2023-08-15T00:00:00"/>
    <x v="0"/>
    <s v="REP-06"/>
  </r>
  <r>
    <s v="ORD-0586"/>
    <x v="6"/>
    <x v="3"/>
    <s v="Accessories"/>
    <x v="0"/>
    <s v="Benin"/>
    <n v="4"/>
    <n v="74494"/>
    <n v="297976"/>
    <n v="0"/>
    <n v="297976"/>
    <s v="Card"/>
    <x v="1"/>
    <d v="2023-11-22T00:00:00"/>
    <x v="7"/>
    <s v="REP-04"/>
  </r>
  <r>
    <s v="ORD-0444"/>
    <x v="16"/>
    <x v="8"/>
    <s v="Accessories"/>
    <x v="1"/>
    <s v="Makurdi"/>
    <n v="10"/>
    <n v="65784"/>
    <n v="657840"/>
    <n v="0.05"/>
    <n v="624948"/>
    <s v="Transfer"/>
    <x v="1"/>
    <d v="2023-11-20T00:00:00"/>
    <x v="7"/>
    <s v="REP-10"/>
  </r>
  <r>
    <s v="ORD-0445"/>
    <x v="11"/>
    <x v="8"/>
    <s v="Accessories"/>
    <x v="3"/>
    <s v="Kaduna"/>
    <n v="3"/>
    <n v="26233"/>
    <n v="78699"/>
    <n v="9.9999999999999922E-2"/>
    <n v="70829.100000000006"/>
    <s v="Transfer"/>
    <x v="0"/>
    <d v="2023-09-12T00:00:00"/>
    <x v="8"/>
    <s v="REP-10"/>
  </r>
  <r>
    <s v="ORD-0168"/>
    <x v="12"/>
    <x v="2"/>
    <s v="Electronics"/>
    <x v="0"/>
    <s v="Jos"/>
    <n v="20"/>
    <n v="49252"/>
    <n v="985040"/>
    <n v="0.2"/>
    <n v="788032"/>
    <s v="Cash"/>
    <x v="3"/>
    <d v="2023-11-25T00:00:00"/>
    <x v="7"/>
    <s v="REP-10"/>
  </r>
  <r>
    <s v="ord733"/>
    <x v="6"/>
    <x v="7"/>
    <s v="Electronics"/>
    <x v="0"/>
    <s v="Kano"/>
    <n v="8"/>
    <n v="254522"/>
    <n v="2036176"/>
    <n v="0"/>
    <n v="2036176"/>
    <s v="Card"/>
    <x v="2"/>
    <d v="2023-08-22T00:00:00"/>
    <x v="0"/>
    <s v="REP-02"/>
  </r>
  <r>
    <s v="ORD-0443"/>
    <x v="8"/>
    <x v="0"/>
    <s v="Accessories"/>
    <x v="0"/>
    <s v="Benin"/>
    <n v="19"/>
    <n v="75574"/>
    <n v="1435906"/>
    <n v="5.0000000000000031E-2"/>
    <n v="1364110.7"/>
    <s v="Transfer"/>
    <x v="1"/>
    <d v="2023-12-15T00:00:00"/>
    <x v="4"/>
    <s v="REP-02"/>
  </r>
  <r>
    <s v="ORD-0047"/>
    <x v="17"/>
    <x v="1"/>
    <s v="Electronics"/>
    <x v="4"/>
    <s v="Abeokuta"/>
    <n v="9"/>
    <n v="37406"/>
    <n v="336654"/>
    <n v="0.10000000000000007"/>
    <n v="302988.59999999998"/>
    <s v="Card"/>
    <x v="0"/>
    <d v="2023-03-08T00:00:00"/>
    <x v="2"/>
    <s v="REP-05"/>
  </r>
  <r>
    <s v="ORD-0094"/>
    <x v="20"/>
    <x v="1"/>
    <s v="Electronics"/>
    <x v="2"/>
    <s v="Onitsha"/>
    <n v="18"/>
    <n v="25706"/>
    <n v="462708"/>
    <n v="0"/>
    <n v="462708"/>
    <s v="Transfer"/>
    <x v="1"/>
    <d v="2023-09-12T00:00:00"/>
    <x v="8"/>
    <s v="REP-08"/>
  </r>
  <r>
    <s v="ORD-0293"/>
    <x v="20"/>
    <x v="0"/>
    <s v="Accessories"/>
    <x v="3"/>
    <s v="Kaduna"/>
    <n v="5"/>
    <n v="18848"/>
    <n v="94240"/>
    <n v="0.05"/>
    <n v="89528"/>
    <s v="Transfer"/>
    <x v="1"/>
    <d v="2023-09-12T00:00:00"/>
    <x v="8"/>
    <s v="REP-06"/>
  </r>
  <r>
    <s v="ORD-0429"/>
    <x v="19"/>
    <x v="4"/>
    <s v="Accessories"/>
    <x v="4"/>
    <s v="Abeokuta"/>
    <n v="15"/>
    <n v="8584"/>
    <n v="128760"/>
    <n v="0.15"/>
    <n v="109446"/>
    <s v="Cash"/>
    <x v="1"/>
    <d v="2023-11-26T00:00:00"/>
    <x v="7"/>
    <s v="REP-04"/>
  </r>
  <r>
    <s v="ORD-0109"/>
    <x v="18"/>
    <x v="6"/>
    <s v="Electronics"/>
    <x v="3"/>
    <s v="Abuja"/>
    <n v="3"/>
    <n v="399690"/>
    <n v="1199070"/>
    <n v="0.15"/>
    <n v="1019209.5"/>
    <s v="Cash"/>
    <x v="1"/>
    <d v="2023-08-09T00:00:00"/>
    <x v="0"/>
    <s v="REP-10"/>
  </r>
  <r>
    <s v="ORD-0302"/>
    <x v="1"/>
    <x v="7"/>
    <s v="Electronics"/>
    <x v="4"/>
    <s v="Abeokuta"/>
    <n v="12"/>
    <n v="401492"/>
    <n v="4817904"/>
    <n v="0.19999999999999996"/>
    <n v="3854323.2"/>
    <s v="Transfer"/>
    <x v="1"/>
    <d v="2023-06-05T00:00:00"/>
    <x v="10"/>
    <s v="REP-01"/>
  </r>
  <r>
    <s v="ORD-0196"/>
    <x v="13"/>
    <x v="5"/>
    <s v="Electronics"/>
    <x v="4"/>
    <s v="Abeokuta"/>
    <n v="8"/>
    <n v="384218"/>
    <n v="3073744"/>
    <n v="9.9999999999999964E-2"/>
    <n v="2766369.6"/>
    <s v="Cash"/>
    <x v="0"/>
    <d v="2023-12-11T00:00:00"/>
    <x v="4"/>
    <s v="REP-04"/>
  </r>
  <r>
    <s v="ORD-0362"/>
    <x v="14"/>
    <x v="1"/>
    <s v="Electronics"/>
    <x v="3"/>
    <s v="Abuja"/>
    <n v="3"/>
    <n v="39290"/>
    <n v="117870"/>
    <n v="0.1"/>
    <n v="106083"/>
    <s v="Card"/>
    <x v="0"/>
    <d v="2023-09-17T00:00:00"/>
    <x v="8"/>
    <s v="REP-10"/>
  </r>
  <r>
    <s v="ORD-0522"/>
    <x v="12"/>
    <x v="1"/>
    <s v="Electronics"/>
    <x v="3"/>
    <s v="Kaduna"/>
    <n v="7"/>
    <n v="59346"/>
    <n v="415422"/>
    <n v="0.14999999999999997"/>
    <n v="353108.7"/>
    <s v="Transfer"/>
    <x v="2"/>
    <d v="2023-01-21T00:00:00"/>
    <x v="11"/>
    <s v="REP-04"/>
  </r>
  <r>
    <s v="ORD-0487"/>
    <x v="4"/>
    <x v="6"/>
    <s v="Electronics"/>
    <x v="1"/>
    <s v="Lokoja"/>
    <n v="6"/>
    <n v="790791.83333333337"/>
    <n v="4744751"/>
    <n v="4.9999999999999961E-2"/>
    <n v="4507513.45"/>
    <s v="POS"/>
    <x v="0"/>
    <d v="2023-11-19T00:00:00"/>
    <x v="7"/>
    <s v="REP-02"/>
  </r>
  <r>
    <s v="ORD-0236"/>
    <x v="7"/>
    <x v="2"/>
    <s v="Electronics"/>
    <x v="3"/>
    <s v="Kaduna"/>
    <n v="6"/>
    <n v="61973"/>
    <n v="371838"/>
    <n v="9.9999999999999964E-2"/>
    <n v="334654.2"/>
    <s v="POS"/>
    <x v="3"/>
    <d v="2023-09-06T00:00:00"/>
    <x v="8"/>
    <s v="REP-04"/>
  </r>
  <r>
    <s v="ORD-0576"/>
    <x v="1"/>
    <x v="7"/>
    <s v="Electronics"/>
    <x v="0"/>
    <s v="Benin"/>
    <n v="1"/>
    <n v="460874"/>
    <n v="460874"/>
    <n v="5.0000000000000024E-2"/>
    <n v="437830.3"/>
    <s v="Cash"/>
    <x v="0"/>
    <d v="2023-08-18T00:00:00"/>
    <x v="0"/>
    <s v="REP-08"/>
  </r>
  <r>
    <s v="ORD-0423"/>
    <x v="15"/>
    <x v="3"/>
    <s v="Accessories"/>
    <x v="2"/>
    <s v="Aba"/>
    <n v="3"/>
    <n v="9948"/>
    <n v="29844"/>
    <n v="0.14999999999999994"/>
    <n v="25367.4"/>
    <s v="Transfer"/>
    <x v="3"/>
    <d v="2023-03-21T00:00:00"/>
    <x v="2"/>
    <s v="REP-08"/>
  </r>
  <r>
    <s v="ORD-0008"/>
    <x v="4"/>
    <x v="3"/>
    <s v="Accessories"/>
    <x v="3"/>
    <s v="Kano"/>
    <n v="11"/>
    <n v="57581"/>
    <n v="633391"/>
    <n v="9.9999999999999964E-2"/>
    <n v="570051.9"/>
    <s v="Transfer"/>
    <x v="2"/>
    <d v="2023-11-16T00:00:00"/>
    <x v="7"/>
    <s v="REP-07"/>
  </r>
  <r>
    <s v="ORD-0577"/>
    <x v="12"/>
    <x v="7"/>
    <s v="Electronics"/>
    <x v="3"/>
    <s v="Kaduna"/>
    <n v="11"/>
    <n v="179388"/>
    <n v="1973268"/>
    <n v="0.10000000000000002"/>
    <n v="1775941.2"/>
    <s v="Cash"/>
    <x v="2"/>
    <d v="2023-11-22T00:00:00"/>
    <x v="7"/>
    <s v="REP-09"/>
  </r>
  <r>
    <s v="ORD-0439"/>
    <x v="15"/>
    <x v="9"/>
    <s v="Electronics"/>
    <x v="2"/>
    <s v="Enugu"/>
    <n v="8"/>
    <n v="77789"/>
    <n v="622312"/>
    <n v="0.15000000000000008"/>
    <n v="528965.19999999995"/>
    <s v="Card"/>
    <x v="2"/>
    <d v="2023-08-26T00:00:00"/>
    <x v="0"/>
    <s v="REP-01"/>
  </r>
  <r>
    <s v="ORD-0410"/>
    <x v="11"/>
    <x v="3"/>
    <s v="Accessories"/>
    <x v="1"/>
    <s v="Jos"/>
    <n v="6"/>
    <n v="58857"/>
    <n v="353142"/>
    <n v="0"/>
    <n v="353142"/>
    <s v="Card"/>
    <x v="2"/>
    <d v="2023-03-21T00:00:00"/>
    <x v="2"/>
    <s v="REP-09"/>
  </r>
  <r>
    <s v="ORD-0235"/>
    <x v="15"/>
    <x v="6"/>
    <s v="Electronics"/>
    <x v="0"/>
    <s v="Lagos"/>
    <n v="19"/>
    <n v="423208"/>
    <n v="8040952"/>
    <n v="4.9999999999999954E-2"/>
    <n v="7638904.4000000004"/>
    <s v="Card"/>
    <x v="0"/>
    <d v="2023-09-05T00:00:00"/>
    <x v="8"/>
    <s v="REP-08"/>
  </r>
  <r>
    <s v="ORD-0057"/>
    <x v="5"/>
    <x v="7"/>
    <s v="Accessory"/>
    <x v="2"/>
    <s v="Enugu"/>
    <n v="19"/>
    <n v="346768"/>
    <n v="6588592"/>
    <n v="0.14999999999999997"/>
    <n v="5600303.2000000002"/>
    <s v="Card"/>
    <x v="3"/>
    <d v="2023-12-25T00:00:00"/>
    <x v="4"/>
    <s v="REP-05"/>
  </r>
  <r>
    <s v="ORD-0516"/>
    <x v="0"/>
    <x v="4"/>
    <s v="Accessories"/>
    <x v="3"/>
    <s v="Kaduna"/>
    <n v="5"/>
    <n v="9250"/>
    <n v="46250"/>
    <n v="0.2"/>
    <n v="37000"/>
    <s v="Transfer"/>
    <x v="3"/>
    <d v="2023-04-01T00:00:00"/>
    <x v="1"/>
    <s v="REP-07"/>
  </r>
  <r>
    <s v="ORD-0467"/>
    <x v="7"/>
    <x v="5"/>
    <s v="Electronics"/>
    <x v="3"/>
    <s v="Abuja"/>
    <n v="8"/>
    <n v="212102"/>
    <n v="1696816"/>
    <n v="0.19999999999999998"/>
    <n v="1357452.8"/>
    <s v="Card"/>
    <x v="1"/>
    <d v="2023-08-15T00:00:00"/>
    <x v="0"/>
    <s v="REP-05"/>
  </r>
  <r>
    <s v="ORD-0560"/>
    <x v="16"/>
    <x v="1"/>
    <s v="Electronics"/>
    <x v="4"/>
    <s v="Ibadan"/>
    <n v="13"/>
    <n v="36188"/>
    <n v="470444"/>
    <n v="0.14999999999999994"/>
    <n v="399877.4"/>
    <s v="Transfer"/>
    <x v="3"/>
    <d v="2023-09-11T00:00:00"/>
    <x v="8"/>
    <s v="REP-02"/>
  </r>
  <r>
    <s v="ORD-0449"/>
    <x v="2"/>
    <x v="3"/>
    <s v="Accessories"/>
    <x v="0"/>
    <s v="Port Harcourt"/>
    <n v="10"/>
    <n v="63085"/>
    <n v="630850"/>
    <n v="0.05"/>
    <n v="599307.5"/>
    <s v="Card"/>
    <x v="3"/>
    <d v="2023-01-22T00:00:00"/>
    <x v="11"/>
    <s v="REP-06"/>
  </r>
  <r>
    <s v="ORD-0491"/>
    <x v="3"/>
    <x v="4"/>
    <s v="Accessories"/>
    <x v="0"/>
    <s v="Port Harcourt"/>
    <n v="18"/>
    <n v="32770"/>
    <n v="589860"/>
    <n v="0.05"/>
    <n v="560367"/>
    <s v="Transfer"/>
    <x v="1"/>
    <d v="2023-10-24T00:00:00"/>
    <x v="3"/>
    <s v="REP-03"/>
  </r>
  <r>
    <s v="ORD-0497"/>
    <x v="15"/>
    <x v="6"/>
    <s v="Electronics"/>
    <x v="2"/>
    <s v="Aba"/>
    <n v="8"/>
    <n v="229538"/>
    <n v="1836304"/>
    <n v="9.999999999999995E-2"/>
    <n v="1652673.6"/>
    <s v="Card"/>
    <x v="3"/>
    <d v="2023-12-13T00:00:00"/>
    <x v="4"/>
    <s v="REP-09"/>
  </r>
  <r>
    <s v="ORD-0376"/>
    <x v="12"/>
    <x v="6"/>
    <s v="Electronics"/>
    <x v="3"/>
    <s v="Abuja"/>
    <n v="2"/>
    <n v="174842.5"/>
    <n v="349685"/>
    <n v="0.05"/>
    <n v="332200.75"/>
    <s v="Cash"/>
    <x v="2"/>
    <d v="2023-05-25T00:00:00"/>
    <x v="5"/>
    <s v="REP-03"/>
  </r>
  <r>
    <s v="ORD-0320"/>
    <x v="15"/>
    <x v="9"/>
    <s v="Electronics"/>
    <x v="1"/>
    <s v="Lokoja"/>
    <n v="13"/>
    <n v="29232"/>
    <n v="380016"/>
    <n v="9.9999999999999936E-2"/>
    <n v="342014.4"/>
    <s v="Card"/>
    <x v="1"/>
    <d v="2023-01-09T00:00:00"/>
    <x v="11"/>
    <s v="REP-08"/>
  </r>
  <r>
    <s v="ORD-0150"/>
    <x v="18"/>
    <x v="4"/>
    <s v="Accessories"/>
    <x v="0"/>
    <s v="Enugu"/>
    <n v="1"/>
    <n v="51805"/>
    <n v="51805"/>
    <n v="0"/>
    <n v="51805"/>
    <s v="Cash"/>
    <x v="0"/>
    <d v="2023-02-03T00:00:00"/>
    <x v="9"/>
    <s v="REP-06"/>
  </r>
  <r>
    <s v="ORD-0125"/>
    <x v="9"/>
    <x v="8"/>
    <s v="Accessories"/>
    <x v="3"/>
    <s v="Kaduna"/>
    <n v="15"/>
    <n v="15205"/>
    <n v="228075"/>
    <n v="0.1"/>
    <n v="205267.5"/>
    <s v="POS"/>
    <x v="1"/>
    <d v="2023-04-05T00:00:00"/>
    <x v="1"/>
    <s v="REP-07"/>
  </r>
  <r>
    <s v="ORD-0568"/>
    <x v="16"/>
    <x v="1"/>
    <s v="Accessory"/>
    <x v="2"/>
    <s v="Enugu"/>
    <n v="14"/>
    <n v="47389"/>
    <n v="663446"/>
    <n v="9.9999999999999964E-2"/>
    <n v="597101.4"/>
    <s v="Transfer"/>
    <x v="3"/>
    <d v="2023-07-13T00:00:00"/>
    <x v="6"/>
    <s v="REP-06"/>
  </r>
  <r>
    <s v="ORD-0541"/>
    <x v="7"/>
    <x v="5"/>
    <s v="Electronics"/>
    <x v="1"/>
    <s v="Jos"/>
    <n v="15"/>
    <n v="360143"/>
    <n v="5402145"/>
    <n v="0.2"/>
    <n v="4321716"/>
    <s v="Card"/>
    <x v="2"/>
    <d v="2023-08-13T00:00:00"/>
    <x v="0"/>
    <s v="REP-02"/>
  </r>
  <r>
    <s v="ORD-0186"/>
    <x v="3"/>
    <x v="3"/>
    <s v="Accessories"/>
    <x v="4"/>
    <s v="Osogbo"/>
    <n v="11"/>
    <n v="67888"/>
    <n v="746768"/>
    <n v="0.10000000000000006"/>
    <n v="672091.2"/>
    <s v="Transfer"/>
    <x v="0"/>
    <d v="2023-02-19T00:00:00"/>
    <x v="9"/>
    <s v="REP-09"/>
  </r>
  <r>
    <s v="ORD-0544"/>
    <x v="1"/>
    <x v="0"/>
    <s v="Accessories"/>
    <x v="3"/>
    <s v="Abuja"/>
    <n v="20"/>
    <n v="54664"/>
    <n v="1093280"/>
    <n v="0.1"/>
    <n v="983952"/>
    <s v="Cash"/>
    <x v="3"/>
    <d v="2023-04-27T00:00:00"/>
    <x v="1"/>
    <s v="REP-03"/>
  </r>
  <r>
    <s v="ORD-0322"/>
    <x v="15"/>
    <x v="8"/>
    <s v="Accessories"/>
    <x v="1"/>
    <s v="Makurdi"/>
    <n v="8"/>
    <n v="77561"/>
    <n v="620488"/>
    <n v="0"/>
    <n v="620488"/>
    <s v="POS"/>
    <x v="1"/>
    <d v="2023-08-10T00:00:00"/>
    <x v="0"/>
    <s v="REP-08"/>
  </r>
  <r>
    <s v="ORD-0343"/>
    <x v="19"/>
    <x v="4"/>
    <s v="Accessories"/>
    <x v="2"/>
    <s v="Onitsha"/>
    <n v="19"/>
    <n v="43541"/>
    <n v="827279"/>
    <n v="0.14999999999999997"/>
    <n v="703187.15"/>
    <s v="Cash"/>
    <x v="3"/>
    <d v="2023-07-08T00:00:00"/>
    <x v="6"/>
    <s v="REP-09"/>
  </r>
  <r>
    <s v="ORD-0580"/>
    <x v="1"/>
    <x v="2"/>
    <s v="Electronics"/>
    <x v="1"/>
    <s v="Makurdi"/>
    <n v="3"/>
    <n v="18937"/>
    <n v="56811"/>
    <n v="0"/>
    <n v="56811"/>
    <s v="Card"/>
    <x v="3"/>
    <d v="2023-04-14T00:00:00"/>
    <x v="1"/>
    <s v="REP-06"/>
  </r>
  <r>
    <s v="ORD-0506"/>
    <x v="6"/>
    <x v="7"/>
    <s v="Electronics"/>
    <x v="1"/>
    <s v="Makurdi"/>
    <n v="13"/>
    <n v="314048"/>
    <n v="4082624"/>
    <n v="0.15000000000000002"/>
    <n v="3470230.4"/>
    <s v="Cash"/>
    <x v="3"/>
    <d v="2023-08-15T00:00:00"/>
    <x v="0"/>
    <s v="REP-01"/>
  </r>
  <r>
    <s v="ORD-0142"/>
    <x v="17"/>
    <x v="7"/>
    <s v="Electronics"/>
    <x v="4"/>
    <s v="Ibadan"/>
    <n v="12"/>
    <n v="440739"/>
    <n v="5288868"/>
    <n v="0"/>
    <n v="5288868"/>
    <s v="Transfer"/>
    <x v="3"/>
    <d v="2023-09-03T00:00:00"/>
    <x v="8"/>
    <s v="REP-08"/>
  </r>
  <r>
    <s v="ORD-0321"/>
    <x v="12"/>
    <x v="1"/>
    <s v="Electronics"/>
    <x v="2"/>
    <s v="Enugu"/>
    <n v="8"/>
    <n v="40200"/>
    <n v="321600"/>
    <n v="0.2"/>
    <n v="257280"/>
    <s v="Cash"/>
    <x v="3"/>
    <d v="2023-12-11T00:00:00"/>
    <x v="4"/>
    <s v="REP-09"/>
  </r>
  <r>
    <s v="ORD-0020"/>
    <x v="5"/>
    <x v="7"/>
    <s v="Electronics"/>
    <x v="4"/>
    <s v="Ibadan"/>
    <n v="11"/>
    <n v="207288"/>
    <n v="2280168"/>
    <n v="4.9999999999999961E-2"/>
    <n v="2166159.6"/>
    <s v="POS"/>
    <x v="2"/>
    <d v="2023-07-06T00:00:00"/>
    <x v="6"/>
    <s v="REP-05"/>
  </r>
  <r>
    <s v="ORD-0173"/>
    <x v="1"/>
    <x v="4"/>
    <s v="Accessories"/>
    <x v="1"/>
    <s v="Makurdi"/>
    <n v="11"/>
    <n v="29881"/>
    <n v="328691"/>
    <n v="4.9999999999999961E-2"/>
    <n v="312256.45"/>
    <s v="POS"/>
    <x v="1"/>
    <d v="2023-05-16T00:00:00"/>
    <x v="5"/>
    <s v="REP-01"/>
  </r>
  <r>
    <s v="ORD-0520"/>
    <x v="6"/>
    <x v="9"/>
    <s v="Electronics"/>
    <x v="4"/>
    <s v="Abeokuta"/>
    <n v="20"/>
    <n v="42642"/>
    <n v="852840"/>
    <n v="0.15"/>
    <n v="724914"/>
    <s v="Transfer"/>
    <x v="0"/>
    <d v="2023-03-20T00:00:00"/>
    <x v="2"/>
    <s v="REP-10"/>
  </r>
  <r>
    <s v="ORD-????"/>
    <x v="11"/>
    <x v="0"/>
    <s v="Accessories"/>
    <x v="2"/>
    <s v="Aba"/>
    <n v="20"/>
    <n v="79323"/>
    <n v="1586460"/>
    <n v="0.2"/>
    <n v="1269168"/>
    <s v="Card"/>
    <x v="2"/>
    <d v="2023-01-11T00:00:00"/>
    <x v="11"/>
    <s v="REP-06"/>
  </r>
  <r>
    <s v="ORD-0026"/>
    <x v="5"/>
    <x v="0"/>
    <s v="Accessories"/>
    <x v="1"/>
    <s v="Makurdi"/>
    <n v="17"/>
    <n v="46467"/>
    <n v="789939"/>
    <n v="0.10000000000000003"/>
    <n v="710945.1"/>
    <s v="Transfer"/>
    <x v="2"/>
    <d v="2023-05-13T00:00:00"/>
    <x v="5"/>
    <s v="REP-03"/>
  </r>
  <r>
    <s v="ORD-0417"/>
    <x v="11"/>
    <x v="9"/>
    <s v="Electronics"/>
    <x v="4"/>
    <s v="Ibadan"/>
    <n v="5"/>
    <n v="38360"/>
    <n v="191800"/>
    <n v="0.15"/>
    <n v="163030"/>
    <s v="Transfer"/>
    <x v="1"/>
    <d v="2023-07-05T00:00:00"/>
    <x v="6"/>
    <s v="REP-01"/>
  </r>
  <r>
    <s v="ORD-0494"/>
    <x v="13"/>
    <x v="8"/>
    <s v="Accessories"/>
    <x v="0"/>
    <s v="Benin"/>
    <n v="13"/>
    <n v="71655"/>
    <n v="931515"/>
    <n v="0"/>
    <n v="931515"/>
    <s v="Cash"/>
    <x v="2"/>
    <d v="2023-04-17T00:00:00"/>
    <x v="1"/>
    <s v="REP-08"/>
  </r>
  <r>
    <s v="ORD-0427"/>
    <x v="16"/>
    <x v="3"/>
    <s v="Accessories"/>
    <x v="4"/>
    <s v="Abeokuta"/>
    <n v="13"/>
    <n v="5609"/>
    <n v="72917"/>
    <n v="9.9999999999999964E-2"/>
    <n v="65625.3"/>
    <s v="Cash"/>
    <x v="3"/>
    <d v="2023-10-09T00:00:00"/>
    <x v="3"/>
    <s v="REP-06"/>
  </r>
  <r>
    <s v="ORD-0328"/>
    <x v="15"/>
    <x v="8"/>
    <s v="Accessories"/>
    <x v="3"/>
    <s v="Benin"/>
    <n v="20"/>
    <n v="57654"/>
    <n v="1153080"/>
    <n v="0"/>
    <n v="1153080"/>
    <s v="Card"/>
    <x v="3"/>
    <d v="2023-12-16T00:00:00"/>
    <x v="4"/>
    <s v="REP-05"/>
  </r>
  <r>
    <s v="ORD-0246"/>
    <x v="17"/>
    <x v="4"/>
    <s v="Accessories"/>
    <x v="2"/>
    <s v="Onitsha"/>
    <n v="11"/>
    <n v="64681"/>
    <n v="711491"/>
    <n v="5.0000000000000065E-2"/>
    <n v="675916.45"/>
    <s v="Transfer"/>
    <x v="1"/>
    <d v="2023-02-15T00:00:00"/>
    <x v="9"/>
    <s v="REP-08"/>
  </r>
  <r>
    <s v="ORD-0350"/>
    <x v="14"/>
    <x v="1"/>
    <s v="Electronics"/>
    <x v="2"/>
    <s v="Enugu"/>
    <n v="7"/>
    <n v="26611"/>
    <n v="186277"/>
    <n v="0.14999999999999994"/>
    <n v="158335.45000000001"/>
    <s v="Card"/>
    <x v="2"/>
    <d v="2023-04-24T00:00:00"/>
    <x v="1"/>
    <s v="REP-01"/>
  </r>
  <r>
    <s v="ORD-0273"/>
    <x v="3"/>
    <x v="2"/>
    <s v="Electronics"/>
    <x v="0"/>
    <s v="Port Harcourt"/>
    <n v="9"/>
    <n v="16042"/>
    <n v="144378"/>
    <n v="4.9999999999999961E-2"/>
    <n v="137159.1"/>
    <s v="Transfer"/>
    <x v="3"/>
    <d v="2023-10-11T00:00:00"/>
    <x v="3"/>
    <s v="REP-04"/>
  </r>
  <r>
    <s v="ORD-0155"/>
    <x v="13"/>
    <x v="8"/>
    <s v="Accessories"/>
    <x v="1"/>
    <s v="Jos"/>
    <n v="6"/>
    <n v="76496"/>
    <n v="458976"/>
    <n v="9.999999999999995E-2"/>
    <n v="413078.4"/>
    <s v="Cash"/>
    <x v="0"/>
    <d v="2023-10-11T00:00:00"/>
    <x v="3"/>
    <s v="REP-05"/>
  </r>
  <r>
    <s v="ORD-0127"/>
    <x v="13"/>
    <x v="8"/>
    <s v="Accessories"/>
    <x v="1"/>
    <s v="Jos"/>
    <n v="3"/>
    <n v="56873"/>
    <n v="170619"/>
    <n v="9.9999999999999964E-2"/>
    <n v="153557.1"/>
    <s v="Transfer"/>
    <x v="2"/>
    <d v="2023-02-17T00:00:00"/>
    <x v="9"/>
    <s v="REP-02"/>
  </r>
  <r>
    <s v="ORD-0551"/>
    <x v="3"/>
    <x v="0"/>
    <s v="Accessories"/>
    <x v="0"/>
    <s v="Benin"/>
    <n v="4"/>
    <n v="269137.5"/>
    <n v="1076550"/>
    <n v="0.15"/>
    <n v="915067.5"/>
    <s v="POS"/>
    <x v="0"/>
    <d v="2023-06-04T00:00:00"/>
    <x v="10"/>
    <s v="REP-07"/>
  </r>
  <r>
    <s v="ORD-0114"/>
    <x v="1"/>
    <x v="8"/>
    <s v="Accessories"/>
    <x v="2"/>
    <s v="Enugu"/>
    <n v="9"/>
    <n v="54060"/>
    <n v="486540"/>
    <n v="0.05"/>
    <n v="462213"/>
    <s v="Cash"/>
    <x v="3"/>
    <d v="2023-02-14T00:00:00"/>
    <x v="9"/>
    <s v="REP-02"/>
  </r>
  <r>
    <s v="ORD-0535"/>
    <x v="20"/>
    <x v="9"/>
    <s v="Electronics"/>
    <x v="2"/>
    <s v="Enugu"/>
    <n v="20"/>
    <n v="49399"/>
    <n v="987980"/>
    <n v="0.2"/>
    <n v="790384"/>
    <s v="Card"/>
    <x v="3"/>
    <d v="2023-08-22T00:00:00"/>
    <x v="0"/>
    <s v="REP-01"/>
  </r>
  <r>
    <s v="ORD-0174"/>
    <x v="5"/>
    <x v="9"/>
    <s v="Electronics"/>
    <x v="4"/>
    <s v="Osogbo"/>
    <n v="17"/>
    <n v="64930"/>
    <n v="1103810"/>
    <n v="0.05"/>
    <n v="1048619.5"/>
    <s v="Transfer"/>
    <x v="3"/>
    <d v="2023-10-01T00:00:00"/>
    <x v="3"/>
    <s v="REP-08"/>
  </r>
  <r>
    <s v="ORD-0058"/>
    <x v="3"/>
    <x v="0"/>
    <s v="Accessories"/>
    <x v="3"/>
    <s v="Kaduna"/>
    <n v="19"/>
    <n v="10383"/>
    <n v="197277"/>
    <n v="0.10000000000000006"/>
    <n v="177549.3"/>
    <s v="Transfer"/>
    <x v="3"/>
    <d v="2023-09-21T00:00:00"/>
    <x v="8"/>
    <s v="REP-06"/>
  </r>
  <r>
    <s v="ORD-0356"/>
    <x v="4"/>
    <x v="9"/>
    <s v="Electronics"/>
    <x v="3"/>
    <s v="Abuja"/>
    <n v="19"/>
    <n v="69763"/>
    <n v="1325497"/>
    <n v="5.0000000000000072E-2"/>
    <n v="1259222.1499999999"/>
    <s v="Cash"/>
    <x v="3"/>
    <d v="2023-05-21T00:00:00"/>
    <x v="5"/>
    <s v="REP-04"/>
  </r>
  <r>
    <s v="ORD-0223"/>
    <x v="11"/>
    <x v="2"/>
    <s v="Electronics"/>
    <x v="3"/>
    <s v="Kano"/>
    <n v="3"/>
    <n v="98309.333333333328"/>
    <n v="294928"/>
    <n v="5.0000000000000079E-2"/>
    <n v="280181.59999999998"/>
    <s v="Transfer"/>
    <x v="0"/>
    <d v="2023-05-26T00:00:00"/>
    <x v="5"/>
    <s v="REP-07"/>
  </r>
  <r>
    <s v="ORD-0281"/>
    <x v="2"/>
    <x v="6"/>
    <s v="Electronics"/>
    <x v="1"/>
    <s v="Makurdi"/>
    <n v="9"/>
    <n v="237536"/>
    <n v="2137824"/>
    <n v="9.999999999999995E-2"/>
    <n v="1924041.6"/>
    <s v="Transfer"/>
    <x v="3"/>
    <d v="2023-11-01T00:00:00"/>
    <x v="7"/>
    <s v="REP-07"/>
  </r>
  <r>
    <s v="ORD-0018"/>
    <x v="5"/>
    <x v="9"/>
    <s v="Electronics"/>
    <x v="4"/>
    <s v="Makurdi"/>
    <n v="8"/>
    <n v="41500"/>
    <n v="332000"/>
    <n v="0.15"/>
    <n v="282200"/>
    <s v="Card"/>
    <x v="1"/>
    <d v="2023-04-26T00:00:00"/>
    <x v="1"/>
    <s v="REP-08"/>
  </r>
  <r>
    <s v="ORD-0330"/>
    <x v="20"/>
    <x v="4"/>
    <s v="Accessories"/>
    <x v="2"/>
    <s v="Enugu"/>
    <n v="14"/>
    <n v="16703"/>
    <n v="233842"/>
    <n v="5.0000000000000024E-2"/>
    <n v="222149.9"/>
    <s v="POS"/>
    <x v="1"/>
    <d v="2023-09-28T00:00:00"/>
    <x v="8"/>
    <s v="REP-06"/>
  </r>
  <r>
    <s v="ORD-0256"/>
    <x v="14"/>
    <x v="1"/>
    <s v="Electronics"/>
    <x v="4"/>
    <s v="Ibadan"/>
    <n v="6"/>
    <n v="15835"/>
    <n v="95010"/>
    <n v="0.2"/>
    <n v="76008"/>
    <s v="Transfer"/>
    <x v="3"/>
    <d v="2023-08-05T00:00:00"/>
    <x v="0"/>
    <s v="REP-09"/>
  </r>
  <r>
    <s v="ORD-0337"/>
    <x v="17"/>
    <x v="1"/>
    <s v="Electronics"/>
    <x v="2"/>
    <s v="Aba"/>
    <n v="7"/>
    <n v="66171"/>
    <n v="463197"/>
    <n v="0.10000000000000002"/>
    <n v="416877.3"/>
    <s v="POS"/>
    <x v="3"/>
    <d v="2023-01-17T00:00:00"/>
    <x v="11"/>
    <s v="REP-06"/>
  </r>
  <r>
    <s v="ORD-0083"/>
    <x v="17"/>
    <x v="1"/>
    <s v="Electronics"/>
    <x v="3"/>
    <s v="Abuja"/>
    <n v="5"/>
    <n v="70323"/>
    <n v="351615"/>
    <n v="0.1"/>
    <n v="316453.5"/>
    <s v="Transfer"/>
    <x v="1"/>
    <d v="2023-08-16T00:00:00"/>
    <x v="0"/>
    <s v="REP-04"/>
  </r>
  <r>
    <s v="ORD-0191"/>
    <x v="11"/>
    <x v="4"/>
    <s v="Accessories"/>
    <x v="2"/>
    <s v="Aba"/>
    <n v="2"/>
    <n v="16725"/>
    <n v="33450"/>
    <n v="0.2"/>
    <n v="26760"/>
    <s v="Cash"/>
    <x v="2"/>
    <d v="2023-07-27T00:00:00"/>
    <x v="6"/>
    <s v="REP-03"/>
  </r>
  <r>
    <s v="ORD-0353"/>
    <x v="17"/>
    <x v="7"/>
    <s v="Electronics"/>
    <x v="2"/>
    <s v="Onitsha"/>
    <n v="14"/>
    <n v="496902"/>
    <n v="6956628"/>
    <n v="0"/>
    <n v="6956628"/>
    <s v="Card"/>
    <x v="1"/>
    <d v="2023-02-17T00:00:00"/>
    <x v="9"/>
    <s v="REP-10"/>
  </r>
  <r>
    <s v="ORD-0552"/>
    <x v="17"/>
    <x v="0"/>
    <s v="Accessories"/>
    <x v="3"/>
    <s v="Kaduna"/>
    <n v="19"/>
    <n v="70294"/>
    <n v="1335586"/>
    <n v="5.0000000000000037E-2"/>
    <n v="1268806.7"/>
    <s v="POS"/>
    <x v="0"/>
    <d v="2023-02-01T00:00:00"/>
    <x v="9"/>
    <s v="REP-10"/>
  </r>
  <r>
    <s v="ORD-0301"/>
    <x v="2"/>
    <x v="1"/>
    <s v="Electronics"/>
    <x v="3"/>
    <s v="Kaduna"/>
    <n v="3"/>
    <n v="41670"/>
    <n v="125010"/>
    <n v="0.15"/>
    <n v="106258.5"/>
    <s v="Card"/>
    <x v="2"/>
    <d v="2023-11-26T00:00:00"/>
    <x v="7"/>
    <s v="REP-09"/>
  </r>
  <r>
    <s v="ORD-0095"/>
    <x v="11"/>
    <x v="5"/>
    <s v="Electronics"/>
    <x v="0"/>
    <s v="Benin"/>
    <n v="13"/>
    <n v="403340"/>
    <n v="5243420"/>
    <n v="0"/>
    <n v="5243420"/>
    <s v="Transfer"/>
    <x v="0"/>
    <d v="2023-10-12T00:00:00"/>
    <x v="3"/>
    <s v="REP-01"/>
  </r>
  <r>
    <s v="ORD-0181"/>
    <x v="6"/>
    <x v="9"/>
    <s v="Electronics"/>
    <x v="4"/>
    <s v="Abeokuta"/>
    <n v="19"/>
    <n v="45327"/>
    <n v="861213"/>
    <n v="0"/>
    <n v="861213"/>
    <s v="Transfer"/>
    <x v="2"/>
    <d v="2023-02-12T00:00:00"/>
    <x v="9"/>
    <s v="REP-10"/>
  </r>
  <r>
    <s v="ORD-0409"/>
    <x v="7"/>
    <x v="2"/>
    <s v="Electronics"/>
    <x v="2"/>
    <s v="Onitsha"/>
    <n v="20"/>
    <n v="20509"/>
    <n v="410180"/>
    <n v="0.05"/>
    <n v="389671"/>
    <s v="Cash"/>
    <x v="1"/>
    <d v="2023-11-16T00:00:00"/>
    <x v="7"/>
    <s v="REP-08"/>
  </r>
  <r>
    <s v="ORD-0366"/>
    <x v="7"/>
    <x v="9"/>
    <s v="Electronics"/>
    <x v="2"/>
    <s v="Ibadan"/>
    <n v="1"/>
    <n v="18453"/>
    <n v="18453"/>
    <n v="0.15000000000000005"/>
    <n v="15685.05"/>
    <s v="Cash"/>
    <x v="3"/>
    <d v="2023-10-20T00:00:00"/>
    <x v="3"/>
    <s v="REP-05"/>
  </r>
  <r>
    <s v="ORD-0363"/>
    <x v="15"/>
    <x v="9"/>
    <s v="Electronics"/>
    <x v="4"/>
    <s v="Ibadan"/>
    <n v="8"/>
    <n v="68167"/>
    <n v="545336"/>
    <n v="9.9999999999999964E-2"/>
    <n v="490802.4"/>
    <s v="Cash"/>
    <x v="3"/>
    <d v="2023-06-11T00:00:00"/>
    <x v="10"/>
    <s v="REP-09"/>
  </r>
  <r>
    <s v="ORD-0345"/>
    <x v="1"/>
    <x v="1"/>
    <s v="Electronics"/>
    <x v="0"/>
    <s v="Benin"/>
    <n v="11"/>
    <n v="28639"/>
    <n v="315029"/>
    <n v="0"/>
    <n v="315029"/>
    <s v="Card"/>
    <x v="0"/>
    <d v="2023-02-11T00:00:00"/>
    <x v="9"/>
    <s v="REP-01"/>
  </r>
  <r>
    <s v="ORD-0006"/>
    <x v="16"/>
    <x v="9"/>
    <s v="Electronics"/>
    <x v="4"/>
    <s v="Abeokuta"/>
    <n v="9"/>
    <n v="64429"/>
    <n v="579861"/>
    <n v="9.9999999999999964E-2"/>
    <n v="521874.9"/>
    <s v="Transfer"/>
    <x v="2"/>
    <d v="2023-09-11T00:00:00"/>
    <x v="8"/>
    <s v="REP-02"/>
  </r>
  <r>
    <s v="ORD-0046"/>
    <x v="6"/>
    <x v="1"/>
    <s v="Electronics"/>
    <x v="0"/>
    <s v="Benin"/>
    <n v="15"/>
    <n v="74616"/>
    <n v="1119240"/>
    <n v="0.2"/>
    <n v="895392"/>
    <s v="POS"/>
    <x v="1"/>
    <d v="2023-09-15T00:00:00"/>
    <x v="8"/>
    <s v="REP-03"/>
  </r>
  <r>
    <s v="ORD-0408"/>
    <x v="16"/>
    <x v="0"/>
    <s v="Accessories"/>
    <x v="3"/>
    <s v="Kano"/>
    <n v="17"/>
    <n v="23214"/>
    <n v="394638"/>
    <n v="0.15000000000000002"/>
    <n v="335442.3"/>
    <s v="Cash"/>
    <x v="0"/>
    <d v="2023-05-04T00:00:00"/>
    <x v="5"/>
    <s v="REP-03"/>
  </r>
  <r>
    <s v="ORD-0432"/>
    <x v="5"/>
    <x v="1"/>
    <s v="Electronics"/>
    <x v="0"/>
    <s v="Lagos"/>
    <n v="8"/>
    <n v="36726"/>
    <n v="293808"/>
    <n v="9.9999999999999964E-2"/>
    <n v="264427.2"/>
    <s v="Card"/>
    <x v="2"/>
    <d v="2023-12-10T00:00:00"/>
    <x v="4"/>
    <s v="REP-03"/>
  </r>
  <r>
    <s v="ORD-0422"/>
    <x v="4"/>
    <x v="0"/>
    <s v="Accessories"/>
    <x v="3"/>
    <s v="Kano"/>
    <n v="6"/>
    <n v="56000"/>
    <n v="336000"/>
    <n v="0"/>
    <n v="336000"/>
    <s v="POS"/>
    <x v="1"/>
    <d v="2023-03-02T00:00:00"/>
    <x v="2"/>
    <s v="REP-05"/>
  </r>
  <r>
    <s v="ORD-0017"/>
    <x v="4"/>
    <x v="0"/>
    <s v="Accessories"/>
    <x v="1"/>
    <s v="Makurdi"/>
    <n v="8"/>
    <n v="33864"/>
    <n v="270912"/>
    <n v="0"/>
    <n v="270912"/>
    <s v="Cash"/>
    <x v="2"/>
    <d v="2023-02-02T00:00:00"/>
    <x v="9"/>
    <s v="REP-06"/>
  </r>
  <r>
    <s v="ORD-0049"/>
    <x v="3"/>
    <x v="3"/>
    <s v="Accessories"/>
    <x v="3"/>
    <s v="Kaduna"/>
    <n v="14"/>
    <n v="58424"/>
    <n v="817936"/>
    <n v="9.9999999999999978E-2"/>
    <n v="736142.4"/>
    <s v="Unknown"/>
    <x v="3"/>
    <d v="2023-04-27T00:00:00"/>
    <x v="1"/>
    <s v="REP-07"/>
  </r>
  <r>
    <s v="ORD-0004"/>
    <x v="20"/>
    <x v="9"/>
    <s v="Electronics"/>
    <x v="2"/>
    <s v="Aba"/>
    <n v="12"/>
    <n v="39671"/>
    <n v="476052"/>
    <n v="0"/>
    <n v="476052"/>
    <s v="Cash"/>
    <x v="1"/>
    <d v="2023-02-18T00:00:00"/>
    <x v="9"/>
    <s v="REP-05"/>
  </r>
  <r>
    <s v="ORD-0361"/>
    <x v="6"/>
    <x v="1"/>
    <s v="Electronics"/>
    <x v="0"/>
    <s v="Lagos"/>
    <n v="20"/>
    <n v="54774"/>
    <n v="1095480"/>
    <n v="0.1"/>
    <n v="985932"/>
    <s v="Card"/>
    <x v="1"/>
    <d v="2023-04-08T00:00:00"/>
    <x v="1"/>
    <s v="REP-07"/>
  </r>
  <r>
    <s v="ORD-0333"/>
    <x v="18"/>
    <x v="6"/>
    <s v="Electronics"/>
    <x v="4"/>
    <s v="Abeokuta"/>
    <n v="4"/>
    <n v="166023"/>
    <n v="664092"/>
    <n v="4.9999999999999968E-2"/>
    <n v="630887.4"/>
    <s v="POS"/>
    <x v="2"/>
    <d v="2023-08-19T00:00:00"/>
    <x v="0"/>
    <s v="REP-09"/>
  </r>
  <r>
    <s v="ORD-0489"/>
    <x v="12"/>
    <x v="0"/>
    <s v="Accessories"/>
    <x v="4"/>
    <s v="Ibadan"/>
    <n v="20"/>
    <n v="24112"/>
    <n v="482240"/>
    <n v="0.15"/>
    <n v="409904"/>
    <s v="Card"/>
    <x v="0"/>
    <d v="2023-03-25T00:00:00"/>
    <x v="2"/>
    <s v="REP-02"/>
  </r>
  <r>
    <s v="ORD-0412"/>
    <x v="16"/>
    <x v="9"/>
    <s v="Electronics"/>
    <x v="0"/>
    <s v="Lagos"/>
    <n v="15"/>
    <n v="66789"/>
    <n v="1001835"/>
    <n v="0.15"/>
    <n v="851559.75"/>
    <s v="POS"/>
    <x v="2"/>
    <d v="2023-10-27T00:00:00"/>
    <x v="3"/>
    <s v="REP-03"/>
  </r>
  <r>
    <s v="ORD-0484"/>
    <x v="9"/>
    <x v="2"/>
    <s v="Electronics"/>
    <x v="3"/>
    <s v="Abuja"/>
    <n v="13"/>
    <n v="63407"/>
    <n v="824291"/>
    <n v="0.19999999999999996"/>
    <n v="659432.80000000005"/>
    <s v="Cash"/>
    <x v="2"/>
    <d v="2023-10-07T00:00:00"/>
    <x v="3"/>
    <s v="REP-07"/>
  </r>
  <r>
    <s v="ORD-0334"/>
    <x v="8"/>
    <x v="4"/>
    <s v="Accessories"/>
    <x v="2"/>
    <s v="Enugu"/>
    <n v="6"/>
    <n v="38903"/>
    <n v="233418"/>
    <n v="0"/>
    <n v="233418"/>
    <s v="POS"/>
    <x v="3"/>
    <d v="2023-03-28T00:00:00"/>
    <x v="2"/>
    <s v="REP-10"/>
  </r>
  <r>
    <s v="ORD-0226"/>
    <x v="17"/>
    <x v="1"/>
    <s v="Electronics"/>
    <x v="4"/>
    <s v="Ibadan"/>
    <n v="11"/>
    <n v="79167"/>
    <n v="870837"/>
    <n v="0"/>
    <n v="870837"/>
    <s v="Card"/>
    <x v="2"/>
    <d v="2023-12-19T00:00:00"/>
    <x v="4"/>
    <s v="REP-08"/>
  </r>
  <r>
    <s v="ORD-0027"/>
    <x v="20"/>
    <x v="5"/>
    <s v="Electronics"/>
    <x v="4"/>
    <s v="Osogbo"/>
    <n v="11"/>
    <n v="188033"/>
    <n v="2068363"/>
    <n v="0"/>
    <n v="2068363"/>
    <s v="Cash"/>
    <x v="3"/>
    <d v="2023-07-09T00:00:00"/>
    <x v="6"/>
    <s v="REP-09"/>
  </r>
  <r>
    <s v="ORD-0479"/>
    <x v="3"/>
    <x v="3"/>
    <s v="Accessories"/>
    <x v="0"/>
    <s v="Port Harcourt"/>
    <n v="11"/>
    <n v="7844"/>
    <n v="86284"/>
    <n v="9.9999999999999936E-2"/>
    <n v="77655.600000000006"/>
    <s v="Card"/>
    <x v="3"/>
    <d v="2023-01-15T00:00:00"/>
    <x v="11"/>
    <s v="REP-06"/>
  </r>
  <r>
    <s v="ORD-0264"/>
    <x v="4"/>
    <x v="7"/>
    <s v="Electronics"/>
    <x v="3"/>
    <s v="Abuja"/>
    <n v="15"/>
    <n v="482839"/>
    <n v="7242585"/>
    <n v="0.1"/>
    <n v="6518326.5"/>
    <s v="POS"/>
    <x v="2"/>
    <d v="2023-07-27T00:00:00"/>
    <x v="6"/>
    <s v="REP-04"/>
  </r>
  <r>
    <s v="ORD-0051"/>
    <x v="7"/>
    <x v="0"/>
    <s v="Accessories"/>
    <x v="0"/>
    <s v="Benin"/>
    <n v="16"/>
    <n v="33760"/>
    <n v="540160"/>
    <n v="0.1"/>
    <n v="486144"/>
    <s v="Cash"/>
    <x v="1"/>
    <d v="2023-06-22T00:00:00"/>
    <x v="10"/>
    <s v="REP-07"/>
  </r>
  <r>
    <s v="ORD-0230"/>
    <x v="10"/>
    <x v="0"/>
    <s v="Accessories"/>
    <x v="1"/>
    <s v="Lokoja"/>
    <n v="13"/>
    <n v="47778"/>
    <n v="621114"/>
    <n v="0"/>
    <n v="621114"/>
    <s v="POS"/>
    <x v="2"/>
    <d v="2023-06-18T00:00:00"/>
    <x v="10"/>
    <s v="REP-07"/>
  </r>
  <r>
    <s v="ORD-0038"/>
    <x v="7"/>
    <x v="9"/>
    <s v="Electronics"/>
    <x v="1"/>
    <s v="Makurdi"/>
    <n v="14"/>
    <n v="50309"/>
    <n v="704326"/>
    <n v="9.9999999999999964E-2"/>
    <n v="633893.4"/>
    <s v="Cash"/>
    <x v="1"/>
    <d v="2023-07-10T00:00:00"/>
    <x v="6"/>
    <s v="REP-05"/>
  </r>
  <r>
    <s v="ORD-0158"/>
    <x v="12"/>
    <x v="3"/>
    <s v="Accessories"/>
    <x v="2"/>
    <s v="Aba"/>
    <n v="12"/>
    <n v="55181"/>
    <n v="662172"/>
    <n v="0.20000000000000004"/>
    <n v="529737.6"/>
    <s v="Card"/>
    <x v="1"/>
    <d v="2023-07-10T00:00:00"/>
    <x v="6"/>
    <s v="REP-08"/>
  </r>
  <r>
    <s v="ORD-0238"/>
    <x v="6"/>
    <x v="8"/>
    <s v="Accessories"/>
    <x v="2"/>
    <s v="Enugu"/>
    <n v="15"/>
    <n v="48874"/>
    <n v="733110"/>
    <n v="0.15"/>
    <n v="623143.5"/>
    <s v="Transfer"/>
    <x v="0"/>
    <d v="2023-10-23T00:00:00"/>
    <x v="3"/>
    <s v="REP-04"/>
  </r>
  <r>
    <s v="ORD-0344"/>
    <x v="12"/>
    <x v="9"/>
    <s v="Electronics"/>
    <x v="4"/>
    <s v="Ibadan"/>
    <n v="8"/>
    <n v="93725.25"/>
    <n v="749802"/>
    <n v="0.15000000000000005"/>
    <n v="637331.69999999995"/>
    <s v="Card"/>
    <x v="2"/>
    <d v="2023-06-14T00:00:00"/>
    <x v="10"/>
    <s v="REP-10"/>
  </r>
  <r>
    <s v="ORD-0176"/>
    <x v="3"/>
    <x v="4"/>
    <s v="Accessories"/>
    <x v="3"/>
    <s v="Kano"/>
    <n v="7"/>
    <n v="21737.857142857141"/>
    <n v="152165"/>
    <n v="0.2"/>
    <n v="121732"/>
    <s v="Unknown"/>
    <x v="0"/>
    <d v="2023-02-13T00:00:00"/>
    <x v="9"/>
    <s v="REP-09"/>
  </r>
  <r>
    <s v="ORD-0542"/>
    <x v="9"/>
    <x v="4"/>
    <s v="Accessories"/>
    <x v="0"/>
    <s v="Benin"/>
    <n v="19"/>
    <n v="61511"/>
    <n v="1168709"/>
    <n v="0.14999999999999997"/>
    <n v="993402.65"/>
    <s v="Card"/>
    <x v="2"/>
    <d v="2023-11-22T00:00:00"/>
    <x v="7"/>
    <s v="REP-02"/>
  </r>
  <r>
    <s v="ORD-0195"/>
    <x v="19"/>
    <x v="8"/>
    <s v="Accessories"/>
    <x v="1"/>
    <s v="Jos"/>
    <n v="11"/>
    <n v="16368"/>
    <n v="180048"/>
    <n v="0.15000000000000008"/>
    <n v="153040.79999999999"/>
    <s v="Card"/>
    <x v="1"/>
    <d v="2023-08-06T00:00:00"/>
    <x v="0"/>
    <s v="REP-01"/>
  </r>
  <r>
    <s v="ORD-0530"/>
    <x v="13"/>
    <x v="3"/>
    <s v="Accessories"/>
    <x v="2"/>
    <s v="Enugu"/>
    <n v="16"/>
    <n v="73632"/>
    <n v="1178112"/>
    <n v="9.9999999999999964E-2"/>
    <n v="1060300.8"/>
    <s v="Cash"/>
    <x v="2"/>
    <d v="2023-04-24T00:00:00"/>
    <x v="1"/>
    <s v="REP-01"/>
  </r>
  <r>
    <s v="ORD-0383"/>
    <x v="11"/>
    <x v="6"/>
    <s v="Electronics"/>
    <x v="0"/>
    <s v="Enugu"/>
    <n v="3"/>
    <n v="316649"/>
    <n v="949947"/>
    <n v="0.2"/>
    <n v="759957.6"/>
    <s v="Cash"/>
    <x v="2"/>
    <d v="2023-07-18T00:00:00"/>
    <x v="6"/>
    <s v="REP-09"/>
  </r>
  <r>
    <s v="ORD-0053"/>
    <x v="13"/>
    <x v="1"/>
    <s v="Electronics"/>
    <x v="0"/>
    <s v="Lagos"/>
    <n v="2"/>
    <n v="39099"/>
    <n v="78198"/>
    <n v="0.14999999999999997"/>
    <n v="66468.3"/>
    <s v="POS"/>
    <x v="0"/>
    <d v="2023-06-25T00:00:00"/>
    <x v="10"/>
    <s v="REP-07"/>
  </r>
  <r>
    <s v="ORD-0536"/>
    <x v="15"/>
    <x v="9"/>
    <s v="Electronics"/>
    <x v="4"/>
    <s v="Ibadan"/>
    <n v="2"/>
    <n v="16287"/>
    <n v="32574"/>
    <n v="0.14999999999999997"/>
    <n v="27687.9"/>
    <s v="POS"/>
    <x v="0"/>
    <d v="2023-05-11T00:00:00"/>
    <x v="5"/>
    <s v="REP-04"/>
  </r>
  <r>
    <s v="ORD-0068"/>
    <x v="0"/>
    <x v="1"/>
    <s v="Accessory"/>
    <x v="3"/>
    <s v="Kaduna"/>
    <n v="1"/>
    <n v="42268"/>
    <n v="42268"/>
    <n v="0.14999999999999994"/>
    <n v="35927.800000000003"/>
    <s v="Transfer"/>
    <x v="2"/>
    <d v="2023-09-01T00:00:00"/>
    <x v="8"/>
    <s v="REP-08"/>
  </r>
  <r>
    <s v="ORD-0354"/>
    <x v="0"/>
    <x v="9"/>
    <s v="Electronics"/>
    <x v="2"/>
    <s v="Aba"/>
    <n v="4"/>
    <n v="18928"/>
    <n v="75712"/>
    <n v="0.15000000000000005"/>
    <n v="64355.199999999997"/>
    <s v="Card"/>
    <x v="0"/>
    <d v="2023-07-09T00:00:00"/>
    <x v="6"/>
    <s v="REP-06"/>
  </r>
  <r>
    <s v="ORD-0169"/>
    <x v="14"/>
    <x v="5"/>
    <s v="Electronics"/>
    <x v="0"/>
    <s v="Benin"/>
    <n v="19"/>
    <n v="368411"/>
    <n v="6999809"/>
    <n v="0.19999999999999998"/>
    <n v="5599847.2000000002"/>
    <s v="Transfer"/>
    <x v="0"/>
    <d v="2023-08-08T00:00:00"/>
    <x v="0"/>
    <s v="REP-07"/>
  </r>
  <r>
    <s v="ORD-????"/>
    <x v="1"/>
    <x v="8"/>
    <s v="Accessories"/>
    <x v="2"/>
    <s v="Aba"/>
    <n v="5"/>
    <n v="37859"/>
    <n v="189295"/>
    <n v="0"/>
    <n v="189295"/>
    <s v="POS"/>
    <x v="0"/>
    <d v="2023-09-23T00:00:00"/>
    <x v="8"/>
    <s v="REP-08"/>
  </r>
  <r>
    <s v="ORD-0163"/>
    <x v="18"/>
    <x v="3"/>
    <s v="Accessories"/>
    <x v="0"/>
    <s v="Port Harcourt"/>
    <n v="8"/>
    <n v="69752"/>
    <n v="558016"/>
    <n v="0"/>
    <n v="558016"/>
    <s v="Transfer"/>
    <x v="1"/>
    <d v="2023-05-09T00:00:00"/>
    <x v="5"/>
    <s v="REP-10"/>
  </r>
  <r>
    <s v="ORD-0310"/>
    <x v="14"/>
    <x v="8"/>
    <s v="Accessory"/>
    <x v="2"/>
    <s v="Aba"/>
    <n v="10"/>
    <n v="21691"/>
    <n v="216910"/>
    <n v="0.05"/>
    <n v="206064.5"/>
    <s v="POS"/>
    <x v="3"/>
    <d v="2023-03-20T00:00:00"/>
    <x v="2"/>
    <s v="REP-06"/>
  </r>
  <r>
    <s v="ORD-0194"/>
    <x v="9"/>
    <x v="5"/>
    <s v="Electronics"/>
    <x v="0"/>
    <s v="Port Harcourt"/>
    <n v="1"/>
    <n v="326743"/>
    <n v="326743"/>
    <n v="9.9999999999999964E-2"/>
    <n v="294068.7"/>
    <s v="Card"/>
    <x v="2"/>
    <d v="2023-10-28T00:00:00"/>
    <x v="3"/>
    <s v="REP-07"/>
  </r>
  <r>
    <s v="ORD-0384"/>
    <x v="13"/>
    <x v="8"/>
    <s v="Accessories"/>
    <x v="3"/>
    <s v="Kaduna"/>
    <n v="12"/>
    <n v="33992"/>
    <n v="407904"/>
    <n v="5.0000000000000031E-2"/>
    <n v="387508.8"/>
    <s v="Transfer"/>
    <x v="0"/>
    <d v="2023-04-25T00:00:00"/>
    <x v="1"/>
    <s v="REP-10"/>
  </r>
  <r>
    <s v="ORD-0153"/>
    <x v="10"/>
    <x v="5"/>
    <s v="Electronics"/>
    <x v="2"/>
    <s v="Enugu"/>
    <n v="2"/>
    <n v="493792"/>
    <n v="987584"/>
    <n v="0.10000000000000002"/>
    <n v="888825.6"/>
    <s v="Transfer"/>
    <x v="1"/>
    <d v="2023-07-24T00:00:00"/>
    <x v="6"/>
    <s v="REP-08"/>
  </r>
  <r>
    <s v="ORD-0362"/>
    <x v="14"/>
    <x v="1"/>
    <s v="Electronics"/>
    <x v="3"/>
    <s v="Abuja"/>
    <n v="3"/>
    <n v="39290"/>
    <n v="117870"/>
    <n v="0.1"/>
    <n v="106083"/>
    <s v="Unknown"/>
    <x v="0"/>
    <d v="2023-09-17T00:00:00"/>
    <x v="8"/>
    <s v="REP-10"/>
  </r>
  <r>
    <s v="ORD-0227"/>
    <x v="9"/>
    <x v="5"/>
    <s v="Electronics"/>
    <x v="3"/>
    <s v="Abuja"/>
    <n v="3"/>
    <n v="296996"/>
    <n v="890988"/>
    <n v="0.19999999999999998"/>
    <n v="712790.4"/>
    <s v="Cash"/>
    <x v="2"/>
    <d v="2023-01-06T00:00:00"/>
    <x v="11"/>
    <s v="REP-04"/>
  </r>
  <r>
    <s v="ORD-0368"/>
    <x v="19"/>
    <x v="0"/>
    <s v="Accessories"/>
    <x v="1"/>
    <s v="Jos"/>
    <n v="16"/>
    <n v="52617"/>
    <n v="841872"/>
    <n v="0.15000000000000005"/>
    <n v="715591.2"/>
    <s v="Card"/>
    <x v="3"/>
    <d v="2023-12-06T00:00:00"/>
    <x v="4"/>
    <s v="REP-05"/>
  </r>
  <r>
    <s v="ORD-????"/>
    <x v="4"/>
    <x v="2"/>
    <s v="Electronics"/>
    <x v="4"/>
    <s v="Abeokuta"/>
    <n v="19"/>
    <n v="31467"/>
    <n v="597873"/>
    <n v="0.15000000000000002"/>
    <n v="508192.05"/>
    <s v="Transfer"/>
    <x v="2"/>
    <d v="2023-12-24T00:00:00"/>
    <x v="4"/>
    <s v="REP-02"/>
  </r>
  <r>
    <s v="ORD-0104"/>
    <x v="5"/>
    <x v="0"/>
    <s v="Accessories"/>
    <x v="4"/>
    <s v="Abeokuta"/>
    <n v="9"/>
    <n v="9288"/>
    <n v="83592"/>
    <n v="9.9999999999999964E-2"/>
    <n v="75232.800000000003"/>
    <s v="POS"/>
    <x v="2"/>
    <d v="2023-04-06T00:00:00"/>
    <x v="1"/>
    <s v="REP-06"/>
  </r>
  <r>
    <s v="ORD-0435"/>
    <x v="17"/>
    <x v="6"/>
    <s v="Electronics"/>
    <x v="4"/>
    <s v="Abeokuta"/>
    <n v="16"/>
    <n v="433518"/>
    <n v="6936288"/>
    <n v="0"/>
    <n v="6936288"/>
    <s v="POS"/>
    <x v="2"/>
    <d v="2023-04-08T00:00:00"/>
    <x v="1"/>
    <s v="REP-09"/>
  </r>
  <r>
    <s v="ORD-0075"/>
    <x v="20"/>
    <x v="2"/>
    <s v="Electronics"/>
    <x v="2"/>
    <s v="Enugu"/>
    <n v="20"/>
    <n v="79607"/>
    <n v="1592140"/>
    <n v="0.1"/>
    <n v="1432926"/>
    <s v="POS"/>
    <x v="0"/>
    <d v="2023-12-13T00:00:00"/>
    <x v="4"/>
    <s v="REP-05"/>
  </r>
  <r>
    <s v="ORD-0470"/>
    <x v="7"/>
    <x v="6"/>
    <s v="Electronics"/>
    <x v="0"/>
    <s v="Port Harcourt"/>
    <n v="20"/>
    <n v="298441"/>
    <n v="5968820"/>
    <n v="0.1"/>
    <n v="5371938"/>
    <s v="Transfer"/>
    <x v="3"/>
    <d v="2023-02-17T00:00:00"/>
    <x v="9"/>
    <s v="REP-02"/>
  </r>
  <r>
    <s v="ORD-0373"/>
    <x v="2"/>
    <x v="5"/>
    <s v="Electronics"/>
    <x v="4"/>
    <s v="Ibadan"/>
    <n v="11"/>
    <n v="304231"/>
    <n v="3346541"/>
    <n v="0.14999999999999997"/>
    <n v="2844559.85"/>
    <s v="POS"/>
    <x v="0"/>
    <d v="2023-12-18T00:00:00"/>
    <x v="4"/>
    <s v="REP-06"/>
  </r>
  <r>
    <s v="ORD-0120"/>
    <x v="6"/>
    <x v="2"/>
    <s v="Electronics"/>
    <x v="2"/>
    <s v="Enugu"/>
    <n v="10"/>
    <n v="47517"/>
    <n v="475170"/>
    <n v="0.2"/>
    <n v="380136"/>
    <s v="Cash"/>
    <x v="2"/>
    <d v="2023-12-18T00:00:00"/>
    <x v="4"/>
    <s v="REP-10"/>
  </r>
  <r>
    <s v="ORD-0431"/>
    <x v="13"/>
    <x v="4"/>
    <s v="Accessories"/>
    <x v="3"/>
    <s v="Kaduna"/>
    <n v="18"/>
    <n v="28394"/>
    <n v="511092"/>
    <n v="0.14999999999999997"/>
    <n v="434428.2"/>
    <s v="Card"/>
    <x v="0"/>
    <d v="2023-03-24T00:00:00"/>
    <x v="2"/>
    <s v="REP-04"/>
  </r>
  <r>
    <s v="ORD-0578"/>
    <x v="12"/>
    <x v="1"/>
    <s v="Electronics"/>
    <x v="1"/>
    <s v="Makurdi"/>
    <n v="5"/>
    <n v="35537"/>
    <n v="177685"/>
    <n v="0"/>
    <n v="177685"/>
    <s v="Card"/>
    <x v="1"/>
    <d v="2023-01-11T00:00:00"/>
    <x v="11"/>
    <s v="REP-08"/>
  </r>
  <r>
    <s v="ORD-0592"/>
    <x v="20"/>
    <x v="1"/>
    <s v="Electronics"/>
    <x v="0"/>
    <s v="Port Harcourt"/>
    <n v="13"/>
    <n v="53953"/>
    <n v="701389"/>
    <n v="4.9999999999999933E-2"/>
    <n v="666319.55000000005"/>
    <s v="Card"/>
    <x v="0"/>
    <d v="2023-07-05T00:00:00"/>
    <x v="6"/>
    <s v="REP-06"/>
  </r>
  <r>
    <s v="ORD-0208"/>
    <x v="12"/>
    <x v="8"/>
    <s v="Accessories"/>
    <x v="4"/>
    <s v="Ibadan"/>
    <n v="8"/>
    <n v="75747"/>
    <n v="605976"/>
    <n v="5.0000000000000079E-2"/>
    <n v="575677.19999999995"/>
    <s v="Transfer"/>
    <x v="2"/>
    <d v="2023-12-19T00:00:00"/>
    <x v="4"/>
    <s v="REP-06"/>
  </r>
  <r>
    <s v="ORD-0371"/>
    <x v="1"/>
    <x v="9"/>
    <s v="Electronics"/>
    <x v="4"/>
    <s v="Ibadan"/>
    <n v="15"/>
    <n v="71086"/>
    <n v="1066290"/>
    <n v="0.05"/>
    <n v="1012975.5"/>
    <s v="Cash"/>
    <x v="1"/>
    <d v="2023-10-16T00:00:00"/>
    <x v="3"/>
    <s v="REP-09"/>
  </r>
  <r>
    <s v="ORD-0391"/>
    <x v="4"/>
    <x v="8"/>
    <s v="Accessory"/>
    <x v="3"/>
    <s v="Abuja"/>
    <n v="18"/>
    <n v="5773"/>
    <n v="103914"/>
    <n v="0.20000000000000004"/>
    <n v="83131.199999999997"/>
    <s v="Cash"/>
    <x v="3"/>
    <d v="2023-06-17T00:00:00"/>
    <x v="10"/>
    <s v="REP-02"/>
  </r>
  <r>
    <s v="ORD-0378"/>
    <x v="17"/>
    <x v="6"/>
    <s v="Electronics"/>
    <x v="0"/>
    <s v="Port Harcourt"/>
    <n v="18"/>
    <n v="353888"/>
    <n v="6369984"/>
    <n v="5.0000000000000031E-2"/>
    <n v="6051484.7999999998"/>
    <s v="Transfer"/>
    <x v="3"/>
    <d v="2023-07-13T00:00:00"/>
    <x v="6"/>
    <s v="REP-07"/>
  </r>
  <r>
    <s v="ORD-0450"/>
    <x v="3"/>
    <x v="4"/>
    <s v="Accessories"/>
    <x v="4"/>
    <s v="Abeokuta"/>
    <n v="15"/>
    <n v="75855"/>
    <n v="1137825"/>
    <n v="0.1"/>
    <n v="1024042.5"/>
    <s v="Card"/>
    <x v="2"/>
    <d v="2023-10-20T00:00:00"/>
    <x v="3"/>
    <s v="REP-08"/>
  </r>
  <r>
    <s v="ORD-0009"/>
    <x v="3"/>
    <x v="1"/>
    <s v="Electronics"/>
    <x v="0"/>
    <s v="Port Harcourt"/>
    <n v="9"/>
    <n v="23301"/>
    <n v="209709"/>
    <n v="5.0000000000000058E-2"/>
    <n v="199223.55"/>
    <s v="Transfer"/>
    <x v="1"/>
    <d v="2023-10-13T00:00:00"/>
    <x v="3"/>
    <s v="REP-06"/>
  </r>
  <r>
    <s v="ORD-0420"/>
    <x v="18"/>
    <x v="8"/>
    <s v="Accessory"/>
    <x v="1"/>
    <s v="Makurdi"/>
    <n v="18"/>
    <n v="68238"/>
    <n v="1228284"/>
    <n v="4.9999999999999961E-2"/>
    <n v="1166869.8"/>
    <s v="POS"/>
    <x v="0"/>
    <d v="2023-05-19T00:00:00"/>
    <x v="5"/>
    <s v="REP-06"/>
  </r>
  <r>
    <s v="ORD-0037"/>
    <x v="14"/>
    <x v="4"/>
    <s v="Accessories"/>
    <x v="1"/>
    <s v="Jos"/>
    <n v="13"/>
    <n v="75282"/>
    <n v="978666"/>
    <n v="9.9999999999999978E-2"/>
    <n v="880799.4"/>
    <s v="Transfer"/>
    <x v="2"/>
    <d v="2023-09-10T00:00:00"/>
    <x v="8"/>
    <s v="REP-01"/>
  </r>
  <r>
    <s v="ORD-0140"/>
    <x v="3"/>
    <x v="1"/>
    <s v="Electronics"/>
    <x v="1"/>
    <s v="Jos"/>
    <n v="10"/>
    <n v="63841"/>
    <n v="638410"/>
    <n v="0.05"/>
    <n v="606489.5"/>
    <s v="Transfer"/>
    <x v="1"/>
    <d v="2023-12-04T00:00:00"/>
    <x v="4"/>
    <s v="REP-10"/>
  </r>
  <r>
    <s v="ORD-0254"/>
    <x v="2"/>
    <x v="2"/>
    <s v="Electronics"/>
    <x v="1"/>
    <s v="Jos"/>
    <n v="6"/>
    <n v="69178"/>
    <n v="415068"/>
    <n v="9.9999999999999978E-2"/>
    <n v="373561.2"/>
    <s v="Transfer"/>
    <x v="1"/>
    <d v="2023-02-10T00:00:00"/>
    <x v="9"/>
    <s v="REP-06"/>
  </r>
  <r>
    <s v="ORD-0304"/>
    <x v="9"/>
    <x v="3"/>
    <s v="Accessories"/>
    <x v="2"/>
    <s v="Onitsha"/>
    <n v="18"/>
    <n v="12328"/>
    <n v="221904"/>
    <n v="5.0000000000000051E-2"/>
    <n v="210808.8"/>
    <s v="Transfer"/>
    <x v="2"/>
    <d v="2023-08-03T00:00:00"/>
    <x v="0"/>
    <s v="REP-10"/>
  </r>
  <r>
    <s v="ORD-0434"/>
    <x v="0"/>
    <x v="1"/>
    <s v="Electronics"/>
    <x v="1"/>
    <s v="Lokoja"/>
    <n v="9"/>
    <n v="69330"/>
    <n v="623970"/>
    <n v="0.05"/>
    <n v="592771.5"/>
    <s v="POS"/>
    <x v="2"/>
    <d v="2023-05-10T00:00:00"/>
    <x v="5"/>
    <s v="REP-01"/>
  </r>
  <r>
    <s v="ORD-0369"/>
    <x v="16"/>
    <x v="6"/>
    <s v="Electronics"/>
    <x v="1"/>
    <s v="Lokoja"/>
    <n v="12"/>
    <n v="205743"/>
    <n v="2468916"/>
    <n v="0"/>
    <n v="2468916"/>
    <s v="Card"/>
    <x v="1"/>
    <d v="2023-09-02T00:00:00"/>
    <x v="8"/>
    <s v="REP-10"/>
  </r>
  <r>
    <s v="ORD-0060"/>
    <x v="7"/>
    <x v="5"/>
    <s v="Electronics"/>
    <x v="2"/>
    <s v="Makurdi"/>
    <n v="18"/>
    <n v="403491"/>
    <n v="7262838"/>
    <n v="0.15000000000000002"/>
    <n v="6173412.2999999998"/>
    <s v="Transfer"/>
    <x v="0"/>
    <d v="2023-04-27T00:00:00"/>
    <x v="1"/>
    <s v="REP-02"/>
  </r>
  <r>
    <s v="ORD-0112"/>
    <x v="8"/>
    <x v="6"/>
    <s v="Electronics"/>
    <x v="2"/>
    <s v="Onitsha"/>
    <n v="13"/>
    <n v="463205"/>
    <n v="6021665"/>
    <n v="0.2"/>
    <n v="4817332"/>
    <s v="POS"/>
    <x v="3"/>
    <d v="2023-04-12T00:00:00"/>
    <x v="1"/>
    <s v="REP-09"/>
  </r>
  <r>
    <s v="ORD-0538"/>
    <x v="10"/>
    <x v="1"/>
    <s v="Electronics"/>
    <x v="0"/>
    <s v="Benin"/>
    <n v="8"/>
    <n v="23837"/>
    <n v="190696"/>
    <n v="0.20000000000000007"/>
    <n v="152556.79999999999"/>
    <s v="POS"/>
    <x v="2"/>
    <d v="2023-12-22T00:00:00"/>
    <x v="4"/>
    <s v="REP-06"/>
  </r>
  <r>
    <s v="ORD-0582"/>
    <x v="3"/>
    <x v="5"/>
    <s v="Accessory"/>
    <x v="0"/>
    <s v="Lagos"/>
    <n v="14"/>
    <n v="238107"/>
    <n v="3333498"/>
    <n v="9.999999999999995E-2"/>
    <n v="3000148.2"/>
    <s v="POS"/>
    <x v="2"/>
    <d v="2023-02-10T00:00:00"/>
    <x v="9"/>
    <s v="REP-03"/>
  </r>
  <r>
    <s v="ORD-0518"/>
    <x v="3"/>
    <x v="4"/>
    <s v="Accessories"/>
    <x v="2"/>
    <s v="Enugu"/>
    <n v="13"/>
    <n v="13869"/>
    <n v="180297"/>
    <n v="0.14999999999999994"/>
    <n v="153252.45000000001"/>
    <s v="Transfer"/>
    <x v="1"/>
    <d v="2023-04-03T00:00:00"/>
    <x v="1"/>
    <s v="REP-05"/>
  </r>
  <r>
    <s v="ORD-0263"/>
    <x v="10"/>
    <x v="1"/>
    <s v="Electronics"/>
    <x v="3"/>
    <s v="Abuja"/>
    <n v="3"/>
    <n v="57802"/>
    <n v="173406"/>
    <n v="0.20000000000000007"/>
    <n v="138724.79999999999"/>
    <s v="Transfer"/>
    <x v="1"/>
    <d v="2023-11-08T00:00:00"/>
    <x v="7"/>
    <s v="REP-10"/>
  </r>
  <r>
    <s v="ORD-0524"/>
    <x v="5"/>
    <x v="4"/>
    <s v="Accessories"/>
    <x v="4"/>
    <s v="Abeokuta"/>
    <n v="19"/>
    <n v="8816"/>
    <n v="167504"/>
    <n v="5.0000000000000072E-2"/>
    <n v="159128.79999999999"/>
    <s v="Transfer"/>
    <x v="1"/>
    <d v="2023-08-26T00:00:00"/>
    <x v="0"/>
    <s v="REP-01"/>
  </r>
  <r>
    <s v="ORD-0298"/>
    <x v="2"/>
    <x v="9"/>
    <s v="Electronics"/>
    <x v="3"/>
    <s v="Kano"/>
    <n v="3"/>
    <n v="30919"/>
    <n v="92757"/>
    <n v="0.15000000000000002"/>
    <n v="78843.45"/>
    <s v="Transfer"/>
    <x v="3"/>
    <d v="2023-01-15T00:00:00"/>
    <x v="11"/>
    <s v="REP-01"/>
  </r>
  <r>
    <s v="ord311"/>
    <x v="16"/>
    <x v="6"/>
    <s v="Electronics"/>
    <x v="2"/>
    <s v="Enugu"/>
    <n v="6"/>
    <n v="393596"/>
    <n v="2361576"/>
    <n v="0.14999999999999997"/>
    <n v="2007339.6"/>
    <s v="Cash"/>
    <x v="1"/>
    <d v="2023-10-01T00:00:00"/>
    <x v="3"/>
    <s v="REP-04"/>
  </r>
  <r>
    <s v="ORD-0267"/>
    <x v="10"/>
    <x v="5"/>
    <s v="Electronics"/>
    <x v="0"/>
    <s v="Lagos"/>
    <n v="9"/>
    <n v="198937"/>
    <n v="1790433"/>
    <n v="0.10000000000000002"/>
    <n v="1611389.7"/>
    <s v="Unknown"/>
    <x v="2"/>
    <d v="2023-01-13T00:00:00"/>
    <x v="11"/>
    <s v="REP-05"/>
  </r>
  <r>
    <s v="ORD-0543"/>
    <x v="3"/>
    <x v="0"/>
    <s v="Accessories"/>
    <x v="2"/>
    <s v="Ibadan"/>
    <n v="4"/>
    <n v="65674"/>
    <n v="262696"/>
    <n v="0.10000000000000002"/>
    <n v="236426.4"/>
    <s v="POS"/>
    <x v="2"/>
    <d v="2023-05-13T00:00:00"/>
    <x v="5"/>
    <s v="REP-02"/>
  </r>
  <r>
    <s v="ORD-0360"/>
    <x v="12"/>
    <x v="1"/>
    <s v="Electronics"/>
    <x v="4"/>
    <s v="Ibadan"/>
    <n v="6"/>
    <n v="19818"/>
    <n v="118908"/>
    <n v="4.9999999999999954E-2"/>
    <n v="112962.6"/>
    <s v="Cash"/>
    <x v="1"/>
    <d v="2023-10-16T00:00:00"/>
    <x v="3"/>
    <s v="REP-10"/>
  </r>
  <r>
    <s v="ORD-0555"/>
    <x v="13"/>
    <x v="1"/>
    <s v="Electronics"/>
    <x v="4"/>
    <s v="Abeokuta"/>
    <n v="17"/>
    <n v="66503"/>
    <n v="1130551"/>
    <n v="0.19999999999999996"/>
    <n v="904440.8"/>
    <s v="Transfer"/>
    <x v="0"/>
    <d v="2023-06-05T00:00:00"/>
    <x v="10"/>
    <s v="REP-01"/>
  </r>
  <r>
    <s v="ORD-0039"/>
    <x v="5"/>
    <x v="7"/>
    <s v="Electronics"/>
    <x v="4"/>
    <s v="Abeokuta"/>
    <n v="1"/>
    <n v="422587"/>
    <n v="422587"/>
    <n v="0.20000000000000007"/>
    <n v="338069.6"/>
    <s v="POS"/>
    <x v="3"/>
    <d v="2023-11-11T00:00:00"/>
    <x v="7"/>
    <s v="REP-10"/>
  </r>
  <r>
    <s v="ORD-0481"/>
    <x v="16"/>
    <x v="0"/>
    <s v="Accessories"/>
    <x v="0"/>
    <s v="Benin"/>
    <n v="3"/>
    <n v="47558"/>
    <n v="142674"/>
    <n v="0.15000000000000005"/>
    <n v="121272.9"/>
    <s v="Cash"/>
    <x v="0"/>
    <d v="2023-01-24T00:00:00"/>
    <x v="11"/>
    <s v="REP-10"/>
  </r>
  <r>
    <s v="ORD-0308"/>
    <x v="15"/>
    <x v="9"/>
    <s v="Electronics"/>
    <x v="1"/>
    <s v="Makurdi"/>
    <n v="12"/>
    <n v="14506"/>
    <n v="174072"/>
    <n v="0.10000000000000006"/>
    <n v="156664.79999999999"/>
    <s v="Cash"/>
    <x v="0"/>
    <d v="2023-11-05T00:00:00"/>
    <x v="7"/>
    <s v="REP-03"/>
  </r>
  <r>
    <s v="ORD-0199"/>
    <x v="17"/>
    <x v="6"/>
    <s v="Electronics"/>
    <x v="2"/>
    <s v="Benin"/>
    <n v="8"/>
    <n v="462378"/>
    <n v="3699024"/>
    <n v="0"/>
    <n v="3699024"/>
    <s v="Transfer"/>
    <x v="3"/>
    <d v="2023-04-10T00:00:00"/>
    <x v="1"/>
    <s v="REP-01"/>
  </r>
  <r>
    <s v="ORD-0352"/>
    <x v="15"/>
    <x v="7"/>
    <s v="Electronics"/>
    <x v="3"/>
    <s v="Kano"/>
    <n v="4"/>
    <n v="368510"/>
    <n v="1474040"/>
    <n v="0.15"/>
    <n v="1252934"/>
    <s v="Transfer"/>
    <x v="1"/>
    <d v="2023-05-12T00:00:00"/>
    <x v="5"/>
    <s v="REP-04"/>
  </r>
  <r>
    <s v="ORD-0394"/>
    <x v="6"/>
    <x v="2"/>
    <s v="Electronics"/>
    <x v="3"/>
    <s v="Kaduna"/>
    <n v="2"/>
    <n v="5659"/>
    <n v="11318"/>
    <n v="0.20000000000000004"/>
    <n v="9054.4"/>
    <s v="Cash"/>
    <x v="0"/>
    <d v="2023-04-24T00:00:00"/>
    <x v="1"/>
    <s v="REP-06"/>
  </r>
  <r>
    <s v="ORD-0147"/>
    <x v="20"/>
    <x v="9"/>
    <s v="Electronics"/>
    <x v="3"/>
    <s v="Kano"/>
    <n v="8"/>
    <n v="60027"/>
    <n v="480216"/>
    <n v="0.2"/>
    <n v="384172.79999999999"/>
    <s v="Cash"/>
    <x v="1"/>
    <d v="2023-10-18T00:00:00"/>
    <x v="3"/>
    <s v="REP-01"/>
  </r>
  <r>
    <s v="ORD-0583"/>
    <x v="1"/>
    <x v="9"/>
    <s v="Electronics"/>
    <x v="1"/>
    <s v="Jos"/>
    <n v="13"/>
    <n v="25677"/>
    <n v="333801"/>
    <n v="0"/>
    <n v="333801"/>
    <s v="Cash"/>
    <x v="3"/>
    <d v="2023-03-03T00:00:00"/>
    <x v="2"/>
    <s v="REP-10"/>
  </r>
  <r>
    <s v="ORD-0557"/>
    <x v="17"/>
    <x v="7"/>
    <s v="Electronics"/>
    <x v="4"/>
    <s v="Enugu"/>
    <n v="16"/>
    <n v="193259"/>
    <n v="3092144"/>
    <n v="5.0000000000000058E-2"/>
    <n v="2937536.8"/>
    <s v="Transfer"/>
    <x v="0"/>
    <d v="2023-03-20T00:00:00"/>
    <x v="2"/>
    <s v="REP-05"/>
  </r>
  <r>
    <s v="ORD-0148"/>
    <x v="7"/>
    <x v="6"/>
    <s v="Accessories"/>
    <x v="1"/>
    <s v="Jos"/>
    <n v="8"/>
    <n v="225275"/>
    <n v="1802200"/>
    <n v="0.1"/>
    <n v="1621980"/>
    <s v="Transfer"/>
    <x v="2"/>
    <d v="2023-10-14T00:00:00"/>
    <x v="3"/>
    <s v="REP-03"/>
  </r>
  <r>
    <s v="ORD-0349"/>
    <x v="8"/>
    <x v="5"/>
    <s v="Electronics"/>
    <x v="0"/>
    <s v="Benin"/>
    <n v="3"/>
    <n v="173969"/>
    <n v="521907"/>
    <n v="0.10000000000000002"/>
    <n v="469716.3"/>
    <s v="Transfer"/>
    <x v="1"/>
    <d v="2023-05-11T00:00:00"/>
    <x v="5"/>
    <s v="REP-06"/>
  </r>
  <r>
    <s v="ORD-0326"/>
    <x v="7"/>
    <x v="0"/>
    <s v="Accessories"/>
    <x v="1"/>
    <s v="Jos"/>
    <n v="17"/>
    <n v="59997"/>
    <n v="1019949"/>
    <n v="0"/>
    <n v="1019949"/>
    <s v="Card"/>
    <x v="3"/>
    <d v="2023-02-19T00:00:00"/>
    <x v="9"/>
    <s v="REP-02"/>
  </r>
  <r>
    <s v="ORD-0124"/>
    <x v="11"/>
    <x v="8"/>
    <s v="Accessories"/>
    <x v="0"/>
    <s v="Port Harcourt"/>
    <n v="5"/>
    <n v="54834"/>
    <n v="274170"/>
    <n v="0.2"/>
    <n v="219336"/>
    <s v="Transfer"/>
    <x v="3"/>
    <d v="2023-07-28T00:00:00"/>
    <x v="6"/>
    <s v="REP-01"/>
  </r>
  <r>
    <s v="ORD-0529"/>
    <x v="5"/>
    <x v="5"/>
    <s v="Electronics"/>
    <x v="0"/>
    <s v="Lagos"/>
    <n v="4"/>
    <n v="346196"/>
    <n v="1384784"/>
    <n v="0"/>
    <n v="1384784"/>
    <s v="POS"/>
    <x v="3"/>
    <d v="2023-08-17T00:00:00"/>
    <x v="0"/>
    <s v="REP-03"/>
  </r>
  <r>
    <s v="ORD-0097"/>
    <x v="19"/>
    <x v="3"/>
    <s v="Accessories"/>
    <x v="4"/>
    <s v="Port Harcourt"/>
    <n v="20"/>
    <n v="37850"/>
    <n v="757000"/>
    <n v="0.05"/>
    <n v="719150"/>
    <s v="Cash"/>
    <x v="0"/>
    <d v="2023-02-08T00:00:00"/>
    <x v="9"/>
    <s v="REP-10"/>
  </r>
  <r>
    <s v="ORD-0144"/>
    <x v="11"/>
    <x v="4"/>
    <s v="Accessories"/>
    <x v="0"/>
    <s v="Lagos"/>
    <n v="13"/>
    <n v="15696"/>
    <n v="204048"/>
    <n v="9.9999999999999936E-2"/>
    <n v="183643.2"/>
    <s v="Transfer"/>
    <x v="3"/>
    <d v="2023-12-21T00:00:00"/>
    <x v="4"/>
    <s v="REP-06"/>
  </r>
  <r>
    <s v="ORD-0240"/>
    <x v="9"/>
    <x v="8"/>
    <s v="Accessories"/>
    <x v="2"/>
    <s v="Aba"/>
    <n v="4"/>
    <n v="78905"/>
    <n v="315620"/>
    <n v="0.05"/>
    <n v="299839"/>
    <s v="Card"/>
    <x v="3"/>
    <d v="2023-12-15T00:00:00"/>
    <x v="4"/>
    <s v="REP-04"/>
  </r>
  <r>
    <s v="ORD-0395"/>
    <x v="16"/>
    <x v="3"/>
    <s v="Accessories"/>
    <x v="4"/>
    <s v="Ibadan"/>
    <n v="17"/>
    <n v="23671"/>
    <n v="402407"/>
    <n v="4.999999999999994E-2"/>
    <n v="382286.65"/>
    <s v="Transfer"/>
    <x v="2"/>
    <d v="2023-06-02T00:00:00"/>
    <x v="10"/>
    <s v="REP-10"/>
  </r>
  <r>
    <s v="ORD-0537"/>
    <x v="4"/>
    <x v="6"/>
    <s v="Electronics"/>
    <x v="3"/>
    <s v="Abuja"/>
    <n v="15"/>
    <n v="447685"/>
    <n v="6715275"/>
    <n v="0.05"/>
    <n v="6379511.25"/>
    <s v="POS"/>
    <x v="3"/>
    <d v="2023-10-08T00:00:00"/>
    <x v="3"/>
    <s v="REP-08"/>
  </r>
  <r>
    <s v="ORD-0098"/>
    <x v="7"/>
    <x v="4"/>
    <s v="Accessories"/>
    <x v="0"/>
    <s v="Lagos"/>
    <n v="3"/>
    <n v="43680"/>
    <n v="131040"/>
    <n v="0.1"/>
    <n v="117936"/>
    <s v="Card"/>
    <x v="2"/>
    <d v="2023-12-09T00:00:00"/>
    <x v="4"/>
    <s v="REP-09"/>
  </r>
  <r>
    <s v="ORD-0372"/>
    <x v="15"/>
    <x v="2"/>
    <s v="Electronics"/>
    <x v="1"/>
    <s v="Makurdi"/>
    <n v="6"/>
    <n v="21827"/>
    <n v="130962"/>
    <n v="0"/>
    <n v="130962"/>
    <s v="Transfer"/>
    <x v="1"/>
    <d v="2023-07-20T00:00:00"/>
    <x v="6"/>
    <s v="REP-04"/>
  </r>
  <r>
    <s v="ORD-0325"/>
    <x v="3"/>
    <x v="5"/>
    <s v="Electronics"/>
    <x v="2"/>
    <s v="Onitsha"/>
    <n v="3"/>
    <n v="195627"/>
    <n v="586881"/>
    <n v="0.15000000000000005"/>
    <n v="498848.85"/>
    <s v="Transfer"/>
    <x v="0"/>
    <d v="2023-09-15T00:00:00"/>
    <x v="8"/>
    <s v="REP-01"/>
  </r>
  <r>
    <s v="ORD-0280"/>
    <x v="14"/>
    <x v="0"/>
    <s v="Electronics"/>
    <x v="0"/>
    <s v="Abuja"/>
    <n v="10"/>
    <n v="28022"/>
    <n v="280220"/>
    <n v="0"/>
    <n v="280220"/>
    <s v="Card"/>
    <x v="3"/>
    <d v="2023-03-16T00:00:00"/>
    <x v="2"/>
    <s v="REP-06"/>
  </r>
  <r>
    <s v="ORD-0294"/>
    <x v="19"/>
    <x v="3"/>
    <s v="Accessories"/>
    <x v="4"/>
    <s v="Ibadan"/>
    <n v="10"/>
    <n v="65731"/>
    <n v="657310"/>
    <n v="0.1"/>
    <n v="591579"/>
    <s v="Card"/>
    <x v="0"/>
    <d v="2023-12-23T00:00:00"/>
    <x v="4"/>
    <s v="REP-10"/>
  </r>
  <r>
    <s v="ORD-0255"/>
    <x v="3"/>
    <x v="7"/>
    <s v="Electronics"/>
    <x v="4"/>
    <s v="Osogbo"/>
    <n v="5"/>
    <n v="252303"/>
    <n v="1261515"/>
    <n v="0.15"/>
    <n v="1072287.75"/>
    <s v="POS"/>
    <x v="1"/>
    <d v="2023-11-16T00:00:00"/>
    <x v="7"/>
    <s v="REP-07"/>
  </r>
  <r>
    <s v="ORD-0401"/>
    <x v="0"/>
    <x v="9"/>
    <s v="Electronics"/>
    <x v="3"/>
    <s v="Abuja"/>
    <n v="1"/>
    <n v="71476"/>
    <n v="71476"/>
    <n v="0"/>
    <n v="71476"/>
    <s v="POS"/>
    <x v="2"/>
    <d v="2023-01-18T00:00:00"/>
    <x v="11"/>
    <s v="REP-05"/>
  </r>
  <r>
    <s v="ORD-0123"/>
    <x v="2"/>
    <x v="7"/>
    <s v="Electronics"/>
    <x v="0"/>
    <s v="Kaduna"/>
    <n v="7"/>
    <n v="308030"/>
    <n v="2156210"/>
    <n v="0.05"/>
    <n v="2048399.5"/>
    <s v="Transfer"/>
    <x v="0"/>
    <d v="2023-01-02T00:00:00"/>
    <x v="11"/>
    <s v="REP-08"/>
  </r>
  <r>
    <s v="#6779"/>
    <x v="15"/>
    <x v="3"/>
    <s v="Accessories"/>
    <x v="1"/>
    <s v="Lokoja"/>
    <n v="11"/>
    <n v="67701"/>
    <n v="744711"/>
    <n v="0.19999999999999993"/>
    <n v="595768.80000000005"/>
    <s v="Card"/>
    <x v="1"/>
    <d v="2023-11-09T00:00:00"/>
    <x v="7"/>
    <s v="REP-09"/>
  </r>
  <r>
    <s v="ORD-0203"/>
    <x v="12"/>
    <x v="9"/>
    <s v="Electronics"/>
    <x v="1"/>
    <s v="Lokoja"/>
    <n v="2"/>
    <n v="14046"/>
    <n v="28092"/>
    <n v="0.14999999999999997"/>
    <n v="23878.2"/>
    <s v="POS"/>
    <x v="2"/>
    <d v="2023-03-25T00:00:00"/>
    <x v="2"/>
    <s v="REP-07"/>
  </r>
  <r>
    <s v="ORD-0324"/>
    <x v="4"/>
    <x v="3"/>
    <s v="Accessories"/>
    <x v="4"/>
    <s v="Port Harcourt"/>
    <n v="5"/>
    <n v="10593"/>
    <n v="52965"/>
    <n v="0.15"/>
    <n v="45020.25"/>
    <s v="POS"/>
    <x v="2"/>
    <d v="2023-05-11T00:00:00"/>
    <x v="5"/>
    <s v="REP-10"/>
  </r>
  <r>
    <s v="ORD-0247"/>
    <x v="14"/>
    <x v="4"/>
    <s v="Accessories"/>
    <x v="3"/>
    <s v="Kaduna"/>
    <n v="10"/>
    <n v="10856"/>
    <n v="108560"/>
    <n v="0"/>
    <n v="108560"/>
    <s v="Cash"/>
    <x v="2"/>
    <d v="2023-08-12T00:00:00"/>
    <x v="0"/>
    <s v="REP-09"/>
  </r>
  <r>
    <s v="ORD-0416"/>
    <x v="7"/>
    <x v="6"/>
    <s v="Electronics"/>
    <x v="4"/>
    <s v="Ibadan"/>
    <n v="12"/>
    <n v="172774"/>
    <n v="2073288"/>
    <n v="0.20000000000000004"/>
    <n v="1658630.4"/>
    <s v="POS"/>
    <x v="1"/>
    <d v="2023-06-19T00:00:00"/>
    <x v="10"/>
    <s v="REP-10"/>
  </r>
  <r>
    <s v="ORD-0465"/>
    <x v="13"/>
    <x v="6"/>
    <s v="Electronics"/>
    <x v="3"/>
    <s v="Abuja"/>
    <n v="5"/>
    <n v="405770"/>
    <n v="2028850"/>
    <n v="0.05"/>
    <n v="1927407.5"/>
    <s v="Transfer"/>
    <x v="1"/>
    <d v="2023-07-12T00:00:00"/>
    <x v="6"/>
    <s v="REP-01"/>
  </r>
  <r>
    <s v="ORD-0452"/>
    <x v="14"/>
    <x v="8"/>
    <s v="Accessories"/>
    <x v="2"/>
    <s v="Aba"/>
    <n v="5"/>
    <n v="44789"/>
    <n v="223945"/>
    <n v="0"/>
    <n v="223945"/>
    <s v="Card"/>
    <x v="0"/>
    <d v="2023-05-16T00:00:00"/>
    <x v="5"/>
    <s v="REP-09"/>
  </r>
  <r>
    <s v="ORD-0545"/>
    <x v="0"/>
    <x v="0"/>
    <s v="Accessories"/>
    <x v="3"/>
    <s v="Kaduna"/>
    <n v="5"/>
    <n v="24558"/>
    <n v="122790"/>
    <n v="0.15"/>
    <n v="104371.5"/>
    <s v="POS"/>
    <x v="1"/>
    <d v="2023-07-04T00:00:00"/>
    <x v="6"/>
    <s v="REP-06"/>
  </r>
  <r>
    <s v="ORD-0464"/>
    <x v="0"/>
    <x v="3"/>
    <s v="Accessories"/>
    <x v="0"/>
    <s v="Port Harcourt"/>
    <n v="16"/>
    <n v="16980"/>
    <n v="271680"/>
    <n v="0.2"/>
    <n v="217344"/>
    <s v="Cash"/>
    <x v="3"/>
    <d v="2023-06-21T00:00:00"/>
    <x v="10"/>
    <s v="REP-03"/>
  </r>
  <r>
    <s v="ORD-0554"/>
    <x v="3"/>
    <x v="0"/>
    <s v="Accessories"/>
    <x v="3"/>
    <s v="Abuja"/>
    <n v="8"/>
    <n v="66925"/>
    <n v="535400"/>
    <n v="0"/>
    <n v="535400"/>
    <s v="Transfer"/>
    <x v="3"/>
    <d v="2023-06-18T00:00:00"/>
    <x v="10"/>
    <s v="REP-01"/>
  </r>
  <r>
    <s v="ORD-0433"/>
    <x v="14"/>
    <x v="9"/>
    <s v="Electronics"/>
    <x v="3"/>
    <s v="Abuja"/>
    <n v="3"/>
    <n v="69574"/>
    <n v="208722"/>
    <n v="0.19999999999999998"/>
    <n v="166977.60000000001"/>
    <s v="Cash"/>
    <x v="1"/>
    <d v="2023-06-20T00:00:00"/>
    <x v="10"/>
    <s v="REP-06"/>
  </r>
  <r>
    <s v="#9032"/>
    <x v="0"/>
    <x v="7"/>
    <s v="Electronics"/>
    <x v="2"/>
    <s v="Enugu"/>
    <n v="6"/>
    <n v="474075"/>
    <n v="2844450"/>
    <n v="0.15"/>
    <n v="2417782.5"/>
    <s v="POS"/>
    <x v="3"/>
    <d v="2023-04-14T00:00:00"/>
    <x v="1"/>
    <s v="REP-10"/>
  </r>
  <r>
    <s v="ORD-0403"/>
    <x v="14"/>
    <x v="6"/>
    <s v="Electronics"/>
    <x v="3"/>
    <s v="Abuja"/>
    <n v="13"/>
    <n v="340770"/>
    <n v="4430010"/>
    <n v="0.2"/>
    <n v="3544008"/>
    <s v="Card"/>
    <x v="2"/>
    <d v="2023-05-09T00:00:00"/>
    <x v="5"/>
    <s v="REP-08"/>
  </r>
  <r>
    <s v="ORD-0590"/>
    <x v="11"/>
    <x v="0"/>
    <s v="Accessories"/>
    <x v="2"/>
    <s v="Enugu"/>
    <n v="14"/>
    <n v="31050"/>
    <n v="434700"/>
    <n v="0.1"/>
    <n v="391230"/>
    <s v="Transfer"/>
    <x v="2"/>
    <d v="2023-08-02T00:00:00"/>
    <x v="0"/>
    <s v="REP-07"/>
  </r>
  <r>
    <s v="ORD-0224"/>
    <x v="11"/>
    <x v="9"/>
    <s v="Electronics"/>
    <x v="2"/>
    <s v="Aba"/>
    <n v="13"/>
    <n v="65161"/>
    <n v="847093"/>
    <n v="0.19999999999999998"/>
    <n v="677674.4"/>
    <s v="Card"/>
    <x v="0"/>
    <d v="2023-11-27T00:00:00"/>
    <x v="7"/>
    <s v="REP-02"/>
  </r>
  <r>
    <s v="ORD-0054"/>
    <x v="14"/>
    <x v="5"/>
    <s v="Electronics"/>
    <x v="4"/>
    <s v="Osogbo"/>
    <n v="9"/>
    <n v="192942"/>
    <n v="1736478"/>
    <n v="0.14999999999999997"/>
    <n v="1476006.3"/>
    <s v="Cash"/>
    <x v="0"/>
    <d v="2023-04-21T00:00:00"/>
    <x v="1"/>
    <s v="REP-02"/>
  </r>
  <r>
    <s v="ORD-0220"/>
    <x v="12"/>
    <x v="1"/>
    <s v="Electronics"/>
    <x v="0"/>
    <s v="Lagos"/>
    <n v="7"/>
    <n v="32652"/>
    <n v="228564"/>
    <n v="0.19999999999999996"/>
    <n v="182851.20000000001"/>
    <s v="Cash"/>
    <x v="3"/>
    <d v="2023-05-07T00:00:00"/>
    <x v="5"/>
    <s v="REP-04"/>
  </r>
  <r>
    <s v="ORD-0130"/>
    <x v="10"/>
    <x v="1"/>
    <s v="Electronics"/>
    <x v="3"/>
    <s v="Abuja"/>
    <n v="16"/>
    <n v="62961"/>
    <n v="1007376"/>
    <n v="9.9999999999999978E-2"/>
    <n v="906638.4"/>
    <s v="Cash"/>
    <x v="0"/>
    <d v="2023-03-09T00:00:00"/>
    <x v="2"/>
    <s v="REP-05"/>
  </r>
  <r>
    <s v="ORD-0570"/>
    <x v="6"/>
    <x v="9"/>
    <s v="Electronics"/>
    <x v="0"/>
    <s v="Port Harcourt"/>
    <n v="18"/>
    <n v="61525"/>
    <n v="1107450"/>
    <n v="0.05"/>
    <n v="1052077.5"/>
    <s v="Cash"/>
    <x v="1"/>
    <d v="2023-09-12T00:00:00"/>
    <x v="8"/>
    <s v="REP-02"/>
  </r>
  <r>
    <s v="ORD-0438"/>
    <x v="10"/>
    <x v="3"/>
    <s v="Accessories"/>
    <x v="4"/>
    <s v="Abeokuta"/>
    <n v="12"/>
    <n v="52851"/>
    <n v="634212"/>
    <n v="0.15000000000000008"/>
    <n v="539080.19999999995"/>
    <s v="Card"/>
    <x v="2"/>
    <d v="2023-10-22T00:00:00"/>
    <x v="3"/>
    <s v="REP-04"/>
  </r>
  <r>
    <s v="ORD-0539"/>
    <x v="1"/>
    <x v="4"/>
    <s v="Accessories"/>
    <x v="4"/>
    <s v="Ibadan"/>
    <n v="16"/>
    <n v="8966"/>
    <n v="143456"/>
    <n v="0"/>
    <n v="143456"/>
    <s v="Transfer"/>
    <x v="1"/>
    <d v="2023-08-28T00:00:00"/>
    <x v="0"/>
    <s v="REP-03"/>
  </r>
  <r>
    <s v="ORD-0440"/>
    <x v="3"/>
    <x v="2"/>
    <s v="Electronics"/>
    <x v="4"/>
    <s v="Osogbo"/>
    <n v="16"/>
    <n v="22625"/>
    <n v="362000"/>
    <n v="0.2"/>
    <n v="289600"/>
    <s v="Transfer"/>
    <x v="1"/>
    <d v="2023-09-05T00:00:00"/>
    <x v="8"/>
    <s v="REP-09"/>
  </r>
  <r>
    <s v="ORD-0101"/>
    <x v="1"/>
    <x v="0"/>
    <s v="Accessories"/>
    <x v="4"/>
    <s v="Ibadan"/>
    <n v="12"/>
    <n v="19201"/>
    <n v="230412"/>
    <n v="5.0000000000000024E-2"/>
    <n v="218891.4"/>
    <s v="Transfer"/>
    <x v="2"/>
    <d v="2023-03-11T00:00:00"/>
    <x v="2"/>
    <s v="REP-08"/>
  </r>
  <r>
    <s v="ORD-0448"/>
    <x v="19"/>
    <x v="7"/>
    <s v="Electronics"/>
    <x v="3"/>
    <s v="Kaduna"/>
    <n v="13"/>
    <n v="424717"/>
    <n v="5521321"/>
    <n v="0"/>
    <n v="5521321"/>
    <s v="Card"/>
    <x v="3"/>
    <d v="2023-11-13T00:00:00"/>
    <x v="7"/>
    <s v="REP-05"/>
  </r>
  <r>
    <s v="ORD-0387"/>
    <x v="8"/>
    <x v="6"/>
    <s v="Electronics"/>
    <x v="1"/>
    <s v="Makurdi"/>
    <n v="15"/>
    <n v="405225"/>
    <n v="6078375"/>
    <n v="0"/>
    <n v="6078375"/>
    <s v="Card"/>
    <x v="0"/>
    <d v="2023-03-09T00:00:00"/>
    <x v="2"/>
    <s v="REP-02"/>
  </r>
  <r>
    <s v="ORD-0393"/>
    <x v="2"/>
    <x v="3"/>
    <s v="Accessories"/>
    <x v="0"/>
    <s v="Benin"/>
    <n v="13"/>
    <n v="76529"/>
    <n v="994877"/>
    <n v="9.999999999999995E-2"/>
    <n v="895389.3"/>
    <s v="Transfer"/>
    <x v="3"/>
    <d v="2023-09-28T00:00:00"/>
    <x v="8"/>
    <s v="REP-09"/>
  </r>
  <r>
    <s v="ORD-0295"/>
    <x v="11"/>
    <x v="7"/>
    <s v="Electronics"/>
    <x v="0"/>
    <s v="Benin"/>
    <n v="11"/>
    <n v="227764"/>
    <n v="2505404"/>
    <n v="0"/>
    <n v="2505404"/>
    <s v="POS"/>
    <x v="3"/>
    <d v="2023-10-11T00:00:00"/>
    <x v="3"/>
    <s v="REP-05"/>
  </r>
  <r>
    <s v="ORD-0268"/>
    <x v="5"/>
    <x v="3"/>
    <s v="Accessories"/>
    <x v="4"/>
    <s v="Abeokuta"/>
    <n v="3"/>
    <n v="17475"/>
    <n v="52425"/>
    <n v="0"/>
    <n v="52425"/>
    <s v="Cash"/>
    <x v="2"/>
    <d v="2023-08-10T00:00:00"/>
    <x v="0"/>
    <s v="REP-09"/>
  </r>
  <r>
    <s v="ORD-0052"/>
    <x v="15"/>
    <x v="2"/>
    <s v="Electronics"/>
    <x v="4"/>
    <s v="Osogbo"/>
    <n v="5"/>
    <n v="75008"/>
    <n v="375040"/>
    <n v="0"/>
    <n v="375040"/>
    <s v="Cash"/>
    <x v="3"/>
    <d v="2023-11-14T00:00:00"/>
    <x v="7"/>
    <s v="REP-03"/>
  </r>
  <r>
    <s v="ORD-0442"/>
    <x v="3"/>
    <x v="4"/>
    <s v="Accessories"/>
    <x v="2"/>
    <s v="Onitsha"/>
    <n v="12"/>
    <n v="52226"/>
    <n v="626712"/>
    <n v="0.20000000000000004"/>
    <n v="501369.59999999998"/>
    <s v="Transfer"/>
    <x v="3"/>
    <d v="2023-07-04T00:00:00"/>
    <x v="6"/>
    <s v="REP-06"/>
  </r>
  <r>
    <s v="ORD-0469"/>
    <x v="0"/>
    <x v="8"/>
    <s v="Accessories"/>
    <x v="0"/>
    <s v="Benin"/>
    <n v="1"/>
    <n v="52720"/>
    <n v="52720"/>
    <n v="0.2"/>
    <n v="42176"/>
    <s v="Unknown"/>
    <x v="1"/>
    <d v="2023-04-17T00:00:00"/>
    <x v="1"/>
    <s v="REP-08"/>
  </r>
  <r>
    <s v="ORD-0113"/>
    <x v="13"/>
    <x v="3"/>
    <s v="Accessories"/>
    <x v="4"/>
    <s v="Abeokuta"/>
    <n v="15"/>
    <n v="34949"/>
    <n v="524235"/>
    <n v="0.15"/>
    <n v="445599.75"/>
    <s v="POS"/>
    <x v="1"/>
    <d v="2023-04-12T00:00:00"/>
    <x v="1"/>
    <s v="REP-06"/>
  </r>
  <r>
    <s v="ORD-0180"/>
    <x v="1"/>
    <x v="0"/>
    <s v="Electronics"/>
    <x v="2"/>
    <s v="Aba"/>
    <n v="17"/>
    <n v="71809"/>
    <n v="1220753"/>
    <n v="0.19999999999999998"/>
    <n v="976602.4"/>
    <s v="Transfer"/>
    <x v="1"/>
    <d v="2023-04-12T00:00:00"/>
    <x v="1"/>
    <s v="REP-06"/>
  </r>
  <r>
    <s v="ORD-0468"/>
    <x v="8"/>
    <x v="2"/>
    <s v="Electronics"/>
    <x v="3"/>
    <s v="Kaduna"/>
    <n v="17"/>
    <n v="25319"/>
    <n v="430423"/>
    <n v="0.15000000000000002"/>
    <n v="365859.55"/>
    <s v="Transfer"/>
    <x v="1"/>
    <d v="2023-01-25T00:00:00"/>
    <x v="11"/>
    <s v="REP-09"/>
  </r>
  <r>
    <s v="ORD-0513"/>
    <x v="5"/>
    <x v="1"/>
    <s v="Electronics"/>
    <x v="2"/>
    <s v="Enugu"/>
    <n v="6"/>
    <n v="20408"/>
    <n v="122448"/>
    <n v="4.9999999999999954E-2"/>
    <n v="116325.6"/>
    <s v="Transfer"/>
    <x v="3"/>
    <d v="2023-08-16T00:00:00"/>
    <x v="0"/>
    <s v="REP-08"/>
  </r>
  <r>
    <s v="ORD-0501"/>
    <x v="2"/>
    <x v="8"/>
    <s v="Accessories"/>
    <x v="4"/>
    <s v="Ibadan"/>
    <n v="10"/>
    <n v="63065"/>
    <n v="630650"/>
    <n v="0.1"/>
    <n v="567585"/>
    <s v="Cash"/>
    <x v="2"/>
    <d v="2023-01-03T00:00:00"/>
    <x v="11"/>
    <s v="REP-10"/>
  </r>
  <r>
    <s v="ORD-0374"/>
    <x v="8"/>
    <x v="6"/>
    <s v="Electronics"/>
    <x v="0"/>
    <s v="Port Harcourt"/>
    <n v="7"/>
    <n v="259949"/>
    <n v="1819643"/>
    <n v="0.20000000000000004"/>
    <n v="1455714.4"/>
    <s v="Transfer"/>
    <x v="2"/>
    <d v="2023-12-21T00:00:00"/>
    <x v="4"/>
    <s v="REP-03"/>
  </r>
  <r>
    <s v="ORD-0315"/>
    <x v="16"/>
    <x v="9"/>
    <s v="Electronics"/>
    <x v="3"/>
    <s v="Abuja"/>
    <n v="11"/>
    <n v="27296"/>
    <n v="300256"/>
    <n v="0.15"/>
    <n v="255217.6"/>
    <s v="Cash"/>
    <x v="3"/>
    <d v="2023-06-20T00:00:00"/>
    <x v="10"/>
    <s v="REP-10"/>
  </r>
  <r>
    <s v="ORD-0152"/>
    <x v="17"/>
    <x v="7"/>
    <s v="Electronics"/>
    <x v="0"/>
    <s v="Benin"/>
    <n v="2"/>
    <n v="315463"/>
    <n v="630926"/>
    <n v="9.9999999999999964E-2"/>
    <n v="567833.4"/>
    <s v="Unknown"/>
    <x v="0"/>
    <d v="2023-01-25T00:00:00"/>
    <x v="11"/>
    <s v="REP-04"/>
  </r>
  <r>
    <s v="ORD-0172"/>
    <x v="12"/>
    <x v="5"/>
    <s v="Electronics"/>
    <x v="2"/>
    <s v="Abeokuta"/>
    <n v="8"/>
    <n v="223860"/>
    <n v="1790880"/>
    <n v="0"/>
    <n v="1790880"/>
    <s v="POS"/>
    <x v="1"/>
    <d v="2023-04-28T00:00:00"/>
    <x v="1"/>
    <s v="REP-03"/>
  </r>
  <r>
    <s v="ORD-0234"/>
    <x v="15"/>
    <x v="6"/>
    <s v="Electronics"/>
    <x v="3"/>
    <s v="Kano"/>
    <n v="20"/>
    <n v="463547"/>
    <n v="9270940"/>
    <n v="0.1"/>
    <n v="8343846"/>
    <s v="Transfer"/>
    <x v="1"/>
    <d v="2023-07-25T00:00:00"/>
    <x v="6"/>
    <s v="REP-02"/>
  </r>
  <r>
    <s v="ORD-0307"/>
    <x v="16"/>
    <x v="4"/>
    <s v="Accessories"/>
    <x v="1"/>
    <s v="Lokoja"/>
    <n v="7"/>
    <n v="22103"/>
    <n v="154721"/>
    <n v="0.10000000000000003"/>
    <n v="139248.9"/>
    <s v="Cash"/>
    <x v="3"/>
    <d v="2023-03-19T00:00:00"/>
    <x v="2"/>
    <s v="REP-03"/>
  </r>
  <r>
    <s v="ORD-0598"/>
    <x v="11"/>
    <x v="8"/>
    <s v="Accessories"/>
    <x v="0"/>
    <s v="Port Harcourt"/>
    <n v="5"/>
    <n v="51976"/>
    <n v="259880"/>
    <n v="0.1"/>
    <n v="233892"/>
    <s v="Cash"/>
    <x v="3"/>
    <d v="2023-08-22T00:00:00"/>
    <x v="0"/>
    <s v="REP-05"/>
  </r>
  <r>
    <s v="ORD-0165"/>
    <x v="3"/>
    <x v="1"/>
    <s v="Electronics"/>
    <x v="4"/>
    <s v="Osogbo"/>
    <n v="17"/>
    <n v="50156"/>
    <n v="852652"/>
    <n v="4.9999999999999975E-2"/>
    <n v="810019.4"/>
    <s v="Card"/>
    <x v="2"/>
    <d v="2023-08-22T00:00:00"/>
    <x v="0"/>
    <s v="REP-01"/>
  </r>
  <r>
    <s v="ORD-0318"/>
    <x v="7"/>
    <x v="1"/>
    <s v="Electronics"/>
    <x v="0"/>
    <s v="Lagos"/>
    <n v="2"/>
    <n v="52294"/>
    <n v="104588"/>
    <n v="0"/>
    <n v="104588"/>
    <s v="Transfer"/>
    <x v="1"/>
    <d v="2023-04-04T00:00:00"/>
    <x v="1"/>
    <s v="REP-01"/>
  </r>
  <r>
    <s v="ORD-0137"/>
    <x v="18"/>
    <x v="9"/>
    <s v="Electronics"/>
    <x v="4"/>
    <s v="Abeokuta"/>
    <n v="17"/>
    <n v="52425"/>
    <n v="891225"/>
    <n v="0"/>
    <n v="891225"/>
    <s v="Card"/>
    <x v="2"/>
    <d v="2023-06-25T00:00:00"/>
    <x v="10"/>
    <s v="REP-08"/>
  </r>
  <r>
    <s v="ORD-0411"/>
    <x v="10"/>
    <x v="7"/>
    <s v="Electronics"/>
    <x v="1"/>
    <s v="Jos"/>
    <n v="5"/>
    <n v="179313"/>
    <n v="896565"/>
    <n v="0.05"/>
    <n v="851736.75"/>
    <s v="POS"/>
    <x v="3"/>
    <d v="2023-12-24T00:00:00"/>
    <x v="4"/>
    <s v="REP-05"/>
  </r>
  <r>
    <s v="ORD-0559"/>
    <x v="12"/>
    <x v="5"/>
    <s v="Electronics"/>
    <x v="0"/>
    <s v="Benin"/>
    <n v="16"/>
    <n v="244796"/>
    <n v="3916736"/>
    <n v="0.20000000000000004"/>
    <n v="3133388.7999999998"/>
    <s v="Cash"/>
    <x v="2"/>
    <d v="2023-10-27T00:00:00"/>
    <x v="3"/>
    <s v="REP-03"/>
  </r>
  <r>
    <s v="ORD-0198"/>
    <x v="2"/>
    <x v="0"/>
    <s v="Accessories"/>
    <x v="0"/>
    <s v="Benin"/>
    <n v="8"/>
    <n v="22507"/>
    <n v="180056"/>
    <n v="0.14999999999999997"/>
    <n v="153047.6"/>
    <s v="Transfer"/>
    <x v="1"/>
    <d v="2023-12-18T00:00:00"/>
    <x v="4"/>
    <s v="REP-08"/>
  </r>
  <r>
    <s v="ORD-0359"/>
    <x v="19"/>
    <x v="5"/>
    <s v="Electronics"/>
    <x v="3"/>
    <s v="Kaduna"/>
    <n v="12"/>
    <n v="329685"/>
    <n v="3956220"/>
    <n v="0.05"/>
    <n v="3758409"/>
    <s v="POS"/>
    <x v="1"/>
    <d v="2023-05-27T00:00:00"/>
    <x v="5"/>
    <s v="REP-07"/>
  </r>
  <r>
    <s v="ORD-0259"/>
    <x v="19"/>
    <x v="1"/>
    <s v="Electronics"/>
    <x v="2"/>
    <s v="Enugu"/>
    <n v="12"/>
    <n v="16401"/>
    <n v="196812"/>
    <n v="0.14999999999999994"/>
    <n v="167290.20000000001"/>
    <s v="Card"/>
    <x v="0"/>
    <d v="2023-12-20T00:00:00"/>
    <x v="4"/>
    <s v="REP-07"/>
  </r>
  <r>
    <s v="ORD-0233"/>
    <x v="20"/>
    <x v="9"/>
    <s v="Electronics"/>
    <x v="0"/>
    <s v="Port Harcourt"/>
    <n v="3"/>
    <n v="29561"/>
    <n v="88683"/>
    <n v="0.14999999999999997"/>
    <n v="75380.55"/>
    <s v="Unknown"/>
    <x v="3"/>
    <d v="2023-01-03T00:00:00"/>
    <x v="11"/>
    <s v="REP-06"/>
  </r>
  <r>
    <s v="ORD-0515"/>
    <x v="10"/>
    <x v="0"/>
    <s v="Accessories"/>
    <x v="1"/>
    <s v="Makurdi"/>
    <n v="1"/>
    <n v="37075"/>
    <n v="37075"/>
    <n v="0.2"/>
    <n v="29660"/>
    <s v="Card"/>
    <x v="3"/>
    <d v="2023-05-03T00:00:00"/>
    <x v="5"/>
    <s v="REP-01"/>
  </r>
  <r>
    <s v="ORD-0116"/>
    <x v="19"/>
    <x v="7"/>
    <s v="Electronics"/>
    <x v="2"/>
    <s v="Aba"/>
    <n v="20"/>
    <n v="313813"/>
    <n v="6276260"/>
    <n v="0.1"/>
    <n v="5648634"/>
    <s v="Card"/>
    <x v="2"/>
    <d v="2023-11-16T00:00:00"/>
    <x v="7"/>
    <s v="REP-04"/>
  </r>
  <r>
    <s v="ORD-0121"/>
    <x v="1"/>
    <x v="7"/>
    <s v="Electronics"/>
    <x v="3"/>
    <s v="Abuja"/>
    <n v="9"/>
    <n v="382318"/>
    <n v="3440862"/>
    <n v="0.14999999999999994"/>
    <n v="2924732.7"/>
    <s v="POS"/>
    <x v="1"/>
    <d v="2023-07-05T00:00:00"/>
    <x v="6"/>
    <s v="REP-09"/>
  </r>
  <r>
    <s v="ORD-0483"/>
    <x v="12"/>
    <x v="7"/>
    <s v="Electronics"/>
    <x v="4"/>
    <s v="Abeokuta"/>
    <n v="2"/>
    <n v="309794"/>
    <n v="619588"/>
    <n v="0.19999999999999996"/>
    <n v="495670.4"/>
    <s v="Card"/>
    <x v="0"/>
    <d v="2023-09-23T00:00:00"/>
    <x v="8"/>
    <s v="REP-04"/>
  </r>
  <r>
    <s v="ORD-0283"/>
    <x v="9"/>
    <x v="2"/>
    <s v="Electronics"/>
    <x v="2"/>
    <s v="Aba"/>
    <n v="6"/>
    <n v="38438"/>
    <n v="230628"/>
    <n v="0"/>
    <n v="230628"/>
    <s v="Cash"/>
    <x v="2"/>
    <d v="2023-12-17T00:00:00"/>
    <x v="4"/>
    <s v="REP-01"/>
  </r>
  <r>
    <s v="ORD-0377"/>
    <x v="0"/>
    <x v="5"/>
    <s v="Electronics"/>
    <x v="2"/>
    <s v="Aba"/>
    <n v="5"/>
    <n v="182523"/>
    <n v="912615"/>
    <n v="0.1"/>
    <n v="821353.5"/>
    <s v="Cash"/>
    <x v="0"/>
    <d v="2023-04-08T00:00:00"/>
    <x v="1"/>
    <s v="REP-10"/>
  </r>
  <r>
    <s v="ORD-0385"/>
    <x v="19"/>
    <x v="6"/>
    <s v="Accessory"/>
    <x v="4"/>
    <s v="Osogbo"/>
    <n v="18"/>
    <n v="490420"/>
    <n v="8827560"/>
    <n v="0"/>
    <n v="8827560"/>
    <s v="Transfer"/>
    <x v="1"/>
    <d v="2023-04-21T00:00:00"/>
    <x v="1"/>
    <s v="REP-10"/>
  </r>
  <r>
    <s v="ORD-0225"/>
    <x v="3"/>
    <x v="7"/>
    <s v="Electronics"/>
    <x v="3"/>
    <s v="Kaduna"/>
    <n v="13"/>
    <n v="348843"/>
    <n v="4534959"/>
    <n v="0.15000000000000002"/>
    <n v="3854715.15"/>
    <s v="Cash"/>
    <x v="3"/>
    <d v="2023-06-12T00:00:00"/>
    <x v="10"/>
    <s v="REP-02"/>
  </r>
  <r>
    <s v="ORD-0597"/>
    <x v="19"/>
    <x v="7"/>
    <s v="Electronics"/>
    <x v="4"/>
    <s v="Abeokuta"/>
    <n v="17"/>
    <n v="356737"/>
    <n v="6064529"/>
    <n v="0.14999999999999994"/>
    <n v="5154849.6500000004"/>
    <s v="POS"/>
    <x v="2"/>
    <d v="2023-02-18T00:00:00"/>
    <x v="9"/>
    <s v="REP-01"/>
  </r>
  <r>
    <s v="ORD-0508"/>
    <x v="8"/>
    <x v="5"/>
    <s v="Electronics"/>
    <x v="2"/>
    <s v="Aba"/>
    <n v="15"/>
    <n v="237286"/>
    <n v="3559290"/>
    <n v="0.15"/>
    <n v="3025396.5"/>
    <s v="Cash"/>
    <x v="2"/>
    <d v="2023-08-27T00:00:00"/>
    <x v="0"/>
    <s v="REP-08"/>
  </r>
  <r>
    <s v="ORD-0473"/>
    <x v="7"/>
    <x v="9"/>
    <s v="Electronics"/>
    <x v="3"/>
    <s v="Abeokuta"/>
    <n v="2"/>
    <n v="52307"/>
    <n v="104614"/>
    <n v="0.20000000000000004"/>
    <n v="83691.199999999997"/>
    <s v="Cash"/>
    <x v="0"/>
    <d v="2023-02-09T00:00:00"/>
    <x v="9"/>
    <s v="REP-02"/>
  </r>
  <r>
    <s v="ORD-0348"/>
    <x v="18"/>
    <x v="3"/>
    <s v="Accessories"/>
    <x v="3"/>
    <s v="Kaduna"/>
    <n v="1"/>
    <n v="37613"/>
    <n v="37613"/>
    <n v="5.0000000000000037E-2"/>
    <n v="35732.35"/>
    <s v="Card"/>
    <x v="3"/>
    <d v="2023-07-17T00:00:00"/>
    <x v="6"/>
    <s v="REP-10"/>
  </r>
  <r>
    <s v="ORD-0128"/>
    <x v="2"/>
    <x v="6"/>
    <s v="Electronics"/>
    <x v="1"/>
    <s v="Jos"/>
    <n v="7"/>
    <n v="333173"/>
    <n v="2332211"/>
    <n v="0.10000000000000003"/>
    <n v="2098989.9"/>
    <s v="Cash"/>
    <x v="2"/>
    <d v="2023-07-05T00:00:00"/>
    <x v="6"/>
    <s v="REP-03"/>
  </r>
  <r>
    <s v="#7003"/>
    <x v="17"/>
    <x v="7"/>
    <s v="Electronics"/>
    <x v="4"/>
    <s v="Ibadan"/>
    <n v="12"/>
    <n v="440739"/>
    <n v="5288868"/>
    <n v="0"/>
    <n v="5288868"/>
    <s v="Transfer"/>
    <x v="3"/>
    <d v="2023-09-03T00:00:00"/>
    <x v="8"/>
    <s v="REP-08"/>
  </r>
  <r>
    <s v="ORD-0446"/>
    <x v="17"/>
    <x v="8"/>
    <s v="Accessories"/>
    <x v="2"/>
    <s v="Onitsha"/>
    <n v="15"/>
    <n v="52600"/>
    <n v="789000"/>
    <n v="0.2"/>
    <n v="631200"/>
    <s v="POS"/>
    <x v="2"/>
    <d v="2023-03-28T00:00:00"/>
    <x v="2"/>
    <s v="REP-01"/>
  </r>
  <r>
    <s v="ORD-0286"/>
    <x v="4"/>
    <x v="2"/>
    <s v="Electronics"/>
    <x v="0"/>
    <s v="Benin"/>
    <n v="17"/>
    <n v="11019"/>
    <n v="187323"/>
    <n v="0.15000000000000005"/>
    <n v="159224.54999999999"/>
    <s v="Transfer"/>
    <x v="0"/>
    <d v="2023-03-06T00:00:00"/>
    <x v="2"/>
    <s v="REP-09"/>
  </r>
  <r>
    <s v="ORD-0581"/>
    <x v="13"/>
    <x v="8"/>
    <s v="Accessories"/>
    <x v="2"/>
    <s v="Enugu"/>
    <n v="4"/>
    <n v="76550"/>
    <n v="306200"/>
    <n v="0.05"/>
    <n v="290890"/>
    <s v="Unknown"/>
    <x v="2"/>
    <d v="2023-03-06T00:00:00"/>
    <x v="2"/>
    <s v="REP-02"/>
  </r>
  <r>
    <s v="ORD-0044"/>
    <x v="20"/>
    <x v="7"/>
    <s v="Accessory"/>
    <x v="0"/>
    <s v="Benin"/>
    <n v="16"/>
    <n v="470483"/>
    <n v="7527728"/>
    <n v="0"/>
    <n v="7527728"/>
    <s v="Card"/>
    <x v="1"/>
    <d v="2023-08-13T00:00:00"/>
    <x v="0"/>
    <s v="REP-04"/>
  </r>
  <r>
    <s v="ORD-0108"/>
    <x v="13"/>
    <x v="2"/>
    <s v="Electronics"/>
    <x v="3"/>
    <s v="Kano"/>
    <n v="12"/>
    <n v="36186"/>
    <n v="434232"/>
    <n v="0.20000000000000007"/>
    <n v="347385.59999999998"/>
    <s v="Card"/>
    <x v="0"/>
    <d v="2023-05-01T00:00:00"/>
    <x v="5"/>
    <s v="REP-07"/>
  </r>
  <r>
    <s v="ORD-0531"/>
    <x v="8"/>
    <x v="1"/>
    <s v="Electronics"/>
    <x v="4"/>
    <s v="Ibadan"/>
    <n v="17"/>
    <n v="20182"/>
    <n v="343094"/>
    <n v="0"/>
    <n v="343094"/>
    <s v="Cash"/>
    <x v="0"/>
    <d v="2023-02-08T00:00:00"/>
    <x v="9"/>
    <s v="REP-02"/>
  </r>
  <r>
    <s v="ORD-0496"/>
    <x v="17"/>
    <x v="4"/>
    <s v="Accessories"/>
    <x v="2"/>
    <s v="Onitsha"/>
    <n v="12"/>
    <n v="44626"/>
    <n v="535512"/>
    <n v="4.9999999999999954E-2"/>
    <n v="508736.4"/>
    <s v="Unknown"/>
    <x v="0"/>
    <d v="2023-07-27T00:00:00"/>
    <x v="6"/>
    <s v="REP-01"/>
  </r>
  <r>
    <s v="ORD-0134"/>
    <x v="7"/>
    <x v="2"/>
    <s v="Electronics"/>
    <x v="2"/>
    <s v="Onitsha"/>
    <n v="12"/>
    <n v="42079"/>
    <n v="504948"/>
    <n v="0.15000000000000002"/>
    <n v="429205.8"/>
    <s v="Cash"/>
    <x v="0"/>
    <d v="2023-11-02T00:00:00"/>
    <x v="7"/>
    <s v="REP-02"/>
  </r>
  <r>
    <s v="ORD-0441"/>
    <x v="12"/>
    <x v="0"/>
    <s v="Accessories"/>
    <x v="3"/>
    <s v="Kano"/>
    <n v="13"/>
    <n v="17972"/>
    <n v="233636"/>
    <n v="4.9999999999999947E-2"/>
    <n v="221954.2"/>
    <s v="Transfer"/>
    <x v="1"/>
    <d v="2023-04-11T00:00:00"/>
    <x v="1"/>
    <s v="REP-08"/>
  </r>
  <r>
    <s v="ORD-0062"/>
    <x v="13"/>
    <x v="2"/>
    <s v="Electronics"/>
    <x v="4"/>
    <s v="Abeokuta"/>
    <n v="7"/>
    <n v="51507"/>
    <n v="360549"/>
    <n v="0.10000000000000006"/>
    <n v="324494.09999999998"/>
    <s v="Transfer"/>
    <x v="3"/>
    <d v="2023-07-09T00:00:00"/>
    <x v="6"/>
    <s v="REP-02"/>
  </r>
  <r>
    <s v="ORD-0045"/>
    <x v="16"/>
    <x v="2"/>
    <s v="Electronics"/>
    <x v="3"/>
    <s v="Abuja"/>
    <n v="4"/>
    <n v="60724"/>
    <n v="242896"/>
    <n v="4.9999999999999954E-2"/>
    <n v="230751.2"/>
    <s v="POS"/>
    <x v="3"/>
    <d v="2023-08-09T00:00:00"/>
    <x v="0"/>
    <s v="REP-02"/>
  </r>
  <r>
    <s v="ORD-0170"/>
    <x v="20"/>
    <x v="5"/>
    <s v="Electronics"/>
    <x v="4"/>
    <s v="Abeokuta"/>
    <n v="3"/>
    <n v="181411"/>
    <n v="544233"/>
    <n v="5.0000000000000044E-2"/>
    <n v="517021.35"/>
    <s v="POS"/>
    <x v="1"/>
    <d v="2023-11-04T00:00:00"/>
    <x v="7"/>
    <s v="REP-10"/>
  </r>
  <r>
    <s v="ORD-0066"/>
    <x v="9"/>
    <x v="2"/>
    <s v="Electronics"/>
    <x v="0"/>
    <s v="Port Harcourt"/>
    <n v="7"/>
    <n v="68464"/>
    <n v="479248"/>
    <n v="9.9999999999999978E-2"/>
    <n v="431323.2"/>
    <s v="Transfer"/>
    <x v="3"/>
    <d v="2023-10-04T00:00:00"/>
    <x v="3"/>
    <s v="REP-04"/>
  </r>
  <r>
    <s v="ORD-0284"/>
    <x v="0"/>
    <x v="7"/>
    <s v="Electronics"/>
    <x v="3"/>
    <s v="Kaduna"/>
    <n v="8"/>
    <n v="174107"/>
    <n v="1392856"/>
    <n v="0.14999999999999994"/>
    <n v="1183927.6000000001"/>
    <s v="Card"/>
    <x v="2"/>
    <d v="2023-01-18T00:00:00"/>
    <x v="11"/>
    <s v="REP-07"/>
  </r>
  <r>
    <s v="ORD-0086"/>
    <x v="20"/>
    <x v="4"/>
    <s v="Accessories"/>
    <x v="2"/>
    <s v="Onitsha"/>
    <n v="18"/>
    <n v="76228"/>
    <n v="1372104"/>
    <n v="0.15000000000000008"/>
    <n v="1166288.3999999999"/>
    <s v="Card"/>
    <x v="2"/>
    <d v="2023-10-13T00:00:00"/>
    <x v="3"/>
    <s v="REP-04"/>
  </r>
  <r>
    <s v="ORD-0243"/>
    <x v="18"/>
    <x v="6"/>
    <s v="Electronics"/>
    <x v="1"/>
    <s v="Jos"/>
    <n v="3"/>
    <n v="207341"/>
    <n v="622023"/>
    <n v="5.0000000000000037E-2"/>
    <n v="590921.85"/>
    <s v="Cash"/>
    <x v="1"/>
    <d v="2023-06-26T00:00:00"/>
    <x v="10"/>
    <s v="REP-07"/>
  </r>
  <r>
    <s v="ORD-0187"/>
    <x v="12"/>
    <x v="8"/>
    <s v="Accessories"/>
    <x v="4"/>
    <s v="Abeokuta"/>
    <n v="12"/>
    <n v="24198"/>
    <n v="290376"/>
    <n v="0.10000000000000002"/>
    <n v="261338.4"/>
    <s v="Cash"/>
    <x v="0"/>
    <d v="2023-06-26T00:00:00"/>
    <x v="10"/>
    <s v="REP-05"/>
  </r>
  <r>
    <s v="ORD-0327"/>
    <x v="15"/>
    <x v="5"/>
    <s v="Electronics"/>
    <x v="1"/>
    <s v="Makurdi"/>
    <n v="12"/>
    <n v="365424"/>
    <n v="4385088"/>
    <n v="9.9999999999999964E-2"/>
    <n v="3946579.2"/>
    <s v="POS"/>
    <x v="1"/>
    <d v="2023-06-01T00:00:00"/>
    <x v="10"/>
    <s v="REP-05"/>
  </r>
  <r>
    <s v="ORD-0160"/>
    <x v="10"/>
    <x v="1"/>
    <s v="Electronics"/>
    <x v="1"/>
    <s v="Lokoja"/>
    <n v="13"/>
    <n v="78619"/>
    <n v="1022047"/>
    <n v="0"/>
    <n v="1022047"/>
    <s v="POS"/>
    <x v="2"/>
    <d v="2023-10-10T00:00:00"/>
    <x v="3"/>
    <s v="REP-08"/>
  </r>
  <r>
    <s v="ORD-0013"/>
    <x v="16"/>
    <x v="6"/>
    <s v="Electronics"/>
    <x v="1"/>
    <s v="Makurdi"/>
    <n v="7"/>
    <n v="230131"/>
    <n v="1610917"/>
    <n v="9.9999999999999978E-2"/>
    <n v="1449825.3"/>
    <s v="Cash"/>
    <x v="0"/>
    <d v="2023-01-08T00:00:00"/>
    <x v="11"/>
    <s v="REP-02"/>
  </r>
  <r>
    <s v="ORD-0036"/>
    <x v="5"/>
    <x v="4"/>
    <s v="Accessories"/>
    <x v="2"/>
    <s v="Onitsha"/>
    <n v="8"/>
    <n v="34219"/>
    <n v="273752"/>
    <n v="0"/>
    <n v="273752"/>
    <s v="Transfer"/>
    <x v="0"/>
    <d v="2023-02-25T00:00:00"/>
    <x v="9"/>
    <s v="REP-05"/>
  </r>
  <r>
    <s v="ORD-0029"/>
    <x v="19"/>
    <x v="0"/>
    <s v="Accessories"/>
    <x v="1"/>
    <s v="Jos"/>
    <n v="1"/>
    <n v="77692"/>
    <n v="77692"/>
    <n v="9.9999999999999964E-2"/>
    <n v="69922.8"/>
    <s v="Transfer"/>
    <x v="3"/>
    <d v="2023-02-24T00:00:00"/>
    <x v="9"/>
    <s v="REP-09"/>
  </r>
  <r>
    <s v="ORD-0171"/>
    <x v="2"/>
    <x v="2"/>
    <s v="Electronics"/>
    <x v="2"/>
    <s v="Onitsha"/>
    <n v="11"/>
    <n v="50268"/>
    <n v="552948"/>
    <n v="0.15000000000000002"/>
    <n v="470005.8"/>
    <s v="Cash"/>
    <x v="0"/>
    <d v="2023-02-24T00:00:00"/>
    <x v="9"/>
    <s v="REP-02"/>
  </r>
  <r>
    <s v="ORD-0143"/>
    <x v="20"/>
    <x v="6"/>
    <s v="Electronics"/>
    <x v="0"/>
    <s v="Benin"/>
    <n v="14"/>
    <n v="198084"/>
    <n v="2773176"/>
    <n v="4.9999999999999933E-2"/>
    <n v="2634517.2000000002"/>
    <s v="Cash"/>
    <x v="1"/>
    <d v="2023-01-13T00:00:00"/>
    <x v="11"/>
    <s v="REP-09"/>
  </r>
  <r>
    <s v="ORD-????"/>
    <x v="19"/>
    <x v="1"/>
    <s v="Electronics"/>
    <x v="1"/>
    <s v="Jos"/>
    <n v="20"/>
    <n v="30630"/>
    <n v="612600"/>
    <n v="0.15"/>
    <n v="520710"/>
    <s v="Transfer"/>
    <x v="3"/>
    <d v="2023-11-07T00:00:00"/>
    <x v="7"/>
    <s v="REP-10"/>
  </r>
  <r>
    <s v="ORD-0533"/>
    <x v="16"/>
    <x v="4"/>
    <s v="Accessories"/>
    <x v="4"/>
    <s v="Abeokuta"/>
    <n v="4"/>
    <n v="40737"/>
    <n v="162948"/>
    <n v="4.9999999999999961E-2"/>
    <n v="154800.6"/>
    <s v="Cash"/>
    <x v="3"/>
    <d v="2023-10-18T00:00:00"/>
    <x v="3"/>
    <s v="REP-09"/>
  </r>
  <r>
    <s v="ORD-0525"/>
    <x v="13"/>
    <x v="2"/>
    <s v="Electronics"/>
    <x v="4"/>
    <s v="Abeokuta"/>
    <n v="5"/>
    <n v="65374"/>
    <n v="326870"/>
    <n v="0.2"/>
    <n v="261496"/>
    <s v="POS"/>
    <x v="3"/>
    <d v="2023-10-09T00:00:00"/>
    <x v="3"/>
    <s v="REP-10"/>
  </r>
  <r>
    <s v="ORD-0591"/>
    <x v="9"/>
    <x v="3"/>
    <s v="Accessories"/>
    <x v="4"/>
    <s v="Abeokuta"/>
    <n v="8"/>
    <n v="14637"/>
    <n v="117096"/>
    <n v="0.14999999999999994"/>
    <n v="99531.6"/>
    <s v="Cash"/>
    <x v="1"/>
    <d v="2023-07-03T00:00:00"/>
    <x v="6"/>
    <s v="REP-10"/>
  </r>
  <r>
    <s v="ORD-0222"/>
    <x v="14"/>
    <x v="7"/>
    <s v="Electronics"/>
    <x v="1"/>
    <s v="Makurdi"/>
    <n v="18"/>
    <n v="365659"/>
    <n v="6581862"/>
    <n v="0"/>
    <n v="6581862"/>
    <s v="Transfer"/>
    <x v="0"/>
    <d v="2023-01-17T00:00:00"/>
    <x v="11"/>
    <s v="REP-07"/>
  </r>
  <r>
    <s v="ORD-0571"/>
    <x v="20"/>
    <x v="7"/>
    <s v="Electronics"/>
    <x v="3"/>
    <s v="Kano"/>
    <n v="3"/>
    <n v="449549"/>
    <n v="1348647"/>
    <n v="9.9999999999999964E-2"/>
    <n v="1213782.3"/>
    <s v="POS"/>
    <x v="2"/>
    <d v="2023-11-21T00:00:00"/>
    <x v="7"/>
    <s v="REP-01"/>
  </r>
  <r>
    <s v="ORD-0096"/>
    <x v="6"/>
    <x v="8"/>
    <s v="Accessories"/>
    <x v="2"/>
    <s v="Aba"/>
    <n v="1"/>
    <n v="79177"/>
    <n v="79177"/>
    <n v="0"/>
    <n v="79177"/>
    <s v="POS"/>
    <x v="0"/>
    <d v="2023-04-20T00:00:00"/>
    <x v="1"/>
    <s v="REP-06"/>
  </r>
  <r>
    <s v="ORD-0241"/>
    <x v="2"/>
    <x v="1"/>
    <s v="Electronics"/>
    <x v="2"/>
    <s v="Aba"/>
    <n v="3"/>
    <n v="58627"/>
    <n v="175881"/>
    <n v="0.14999999999999997"/>
    <n v="149498.85"/>
    <s v="Transfer"/>
    <x v="2"/>
    <d v="2023-05-22T00:00:00"/>
    <x v="5"/>
    <s v="REP-03"/>
  </r>
  <r>
    <s v="ORD-0461"/>
    <x v="13"/>
    <x v="6"/>
    <s v="Electronics"/>
    <x v="0"/>
    <s v="Lagos"/>
    <n v="16"/>
    <n v="354012"/>
    <n v="5664192"/>
    <n v="0.10000000000000003"/>
    <n v="5097772.8"/>
    <s v="Cash"/>
    <x v="3"/>
    <d v="2023-05-16T00:00:00"/>
    <x v="5"/>
    <s v="REP-05"/>
  </r>
  <r>
    <s v="ORD-0547"/>
    <x v="3"/>
    <x v="7"/>
    <s v="Electronics"/>
    <x v="2"/>
    <s v="Onitsha"/>
    <n v="18"/>
    <n v="177854"/>
    <n v="3201372"/>
    <n v="0"/>
    <n v="3201372"/>
    <s v="Cash"/>
    <x v="0"/>
    <d v="2023-08-01T00:00:00"/>
    <x v="0"/>
    <s v="REP-07"/>
  </r>
  <r>
    <s v="ORD-0207"/>
    <x v="6"/>
    <x v="7"/>
    <s v="Electronics"/>
    <x v="0"/>
    <s v="Lagos"/>
    <n v="7"/>
    <n v="185279"/>
    <n v="1296953"/>
    <n v="0"/>
    <n v="1296953"/>
    <s v="POS"/>
    <x v="3"/>
    <d v="2023-04-24T00:00:00"/>
    <x v="1"/>
    <s v="REP-01"/>
  </r>
  <r>
    <s v="ORD-0398"/>
    <x v="9"/>
    <x v="4"/>
    <s v="Accessories"/>
    <x v="1"/>
    <s v="Lokoja"/>
    <n v="10"/>
    <n v="24974"/>
    <n v="249740"/>
    <n v="0.2"/>
    <n v="199792"/>
    <s v="Transfer"/>
    <x v="1"/>
    <d v="2023-01-03T00:00:00"/>
    <x v="11"/>
    <s v="REP-06"/>
  </r>
  <r>
    <s v="ORD-0526"/>
    <x v="9"/>
    <x v="4"/>
    <s v="Accessories"/>
    <x v="1"/>
    <s v="Makurdi"/>
    <n v="18"/>
    <n v="7453"/>
    <n v="134154"/>
    <n v="4.9999999999999975E-2"/>
    <n v="127446.3"/>
    <s v="Transfer"/>
    <x v="0"/>
    <d v="2023-02-05T00:00:00"/>
    <x v="9"/>
    <s v="REP-05"/>
  </r>
  <r>
    <s v="ORD-0218"/>
    <x v="5"/>
    <x v="0"/>
    <s v="Accessories"/>
    <x v="1"/>
    <s v="Lokoja"/>
    <n v="14"/>
    <n v="43691"/>
    <n v="611674"/>
    <n v="4.9999999999999926E-2"/>
    <n v="581090.30000000005"/>
    <s v="Card"/>
    <x v="1"/>
    <d v="2023-10-27T00:00:00"/>
    <x v="3"/>
    <s v="REP-04"/>
  </r>
  <r>
    <s v="ORD-0005"/>
    <x v="12"/>
    <x v="0"/>
    <s v="Accessories"/>
    <x v="2"/>
    <s v="Aba"/>
    <n v="9"/>
    <n v="63761.888888888891"/>
    <n v="573857"/>
    <n v="0"/>
    <n v="573857"/>
    <s v="Card"/>
    <x v="0"/>
    <d v="2023-02-28T00:00:00"/>
    <x v="9"/>
    <s v="REP-04"/>
  </r>
  <r>
    <s v="ORD-0558"/>
    <x v="16"/>
    <x v="5"/>
    <s v="Electronics"/>
    <x v="2"/>
    <s v="Aba"/>
    <n v="1"/>
    <n v="208484"/>
    <n v="208484"/>
    <n v="0.19999999999999996"/>
    <n v="166787.20000000001"/>
    <s v="Card"/>
    <x v="1"/>
    <d v="2023-06-26T00:00:00"/>
    <x v="10"/>
    <s v="REP-03"/>
  </r>
  <r>
    <s v="ORD-0099"/>
    <x v="8"/>
    <x v="6"/>
    <s v="Electronics"/>
    <x v="2"/>
    <s v="Aba"/>
    <n v="6"/>
    <n v="284726"/>
    <n v="1708356"/>
    <n v="0.14999999999999994"/>
    <n v="1452102.6"/>
    <s v="Transfer"/>
    <x v="3"/>
    <d v="2023-03-08T00:00:00"/>
    <x v="2"/>
    <s v="REP-03"/>
  </r>
  <r>
    <s v="ORD-0407"/>
    <x v="11"/>
    <x v="0"/>
    <s v="Accessories"/>
    <x v="3"/>
    <s v="Abuja"/>
    <n v="17"/>
    <n v="37975"/>
    <n v="645575"/>
    <n v="0.15"/>
    <n v="548738.75"/>
    <s v="POS"/>
    <x v="0"/>
    <d v="2023-06-16T00:00:00"/>
    <x v="10"/>
    <s v="REP-08"/>
  </r>
  <r>
    <s v="ORD-0503"/>
    <x v="1"/>
    <x v="9"/>
    <s v="Accessories"/>
    <x v="4"/>
    <s v="Osogbo"/>
    <n v="5"/>
    <n v="70840"/>
    <n v="354200"/>
    <n v="0.2"/>
    <n v="283360"/>
    <s v="Transfer"/>
    <x v="2"/>
    <d v="2023-07-16T00:00:00"/>
    <x v="6"/>
    <s v="REP-08"/>
  </r>
  <r>
    <s v="ORD-0048"/>
    <x v="4"/>
    <x v="3"/>
    <s v="Accessories"/>
    <x v="2"/>
    <s v="Enugu"/>
    <n v="11"/>
    <n v="46904"/>
    <n v="515944"/>
    <n v="0.19999999999999998"/>
    <n v="412755.20000000001"/>
    <s v="Card"/>
    <x v="2"/>
    <d v="2023-07-23T00:00:00"/>
    <x v="6"/>
    <s v="REP-03"/>
  </r>
  <r>
    <s v="ORD-0033"/>
    <x v="12"/>
    <x v="8"/>
    <s v="Accessories"/>
    <x v="0"/>
    <s v="Benin"/>
    <n v="2"/>
    <n v="45404"/>
    <n v="90808"/>
    <n v="0.10000000000000003"/>
    <n v="81727.199999999997"/>
    <s v="Card"/>
    <x v="2"/>
    <d v="2023-04-11T00:00:00"/>
    <x v="1"/>
    <s v="REP-06"/>
  </r>
  <r>
    <s v="ORD-0201"/>
    <x v="12"/>
    <x v="0"/>
    <s v="Accessories"/>
    <x v="4"/>
    <s v="Abeokuta"/>
    <n v="3"/>
    <n v="71895"/>
    <n v="215685"/>
    <n v="0.15"/>
    <n v="183332.25"/>
    <s v="Card"/>
    <x v="1"/>
    <d v="2023-08-19T00:00:00"/>
    <x v="0"/>
    <s v="REP-01"/>
  </r>
  <r>
    <s v="ORD-0135"/>
    <x v="2"/>
    <x v="6"/>
    <s v="Electronics"/>
    <x v="4"/>
    <s v="Abeokuta"/>
    <n v="10"/>
    <n v="282118"/>
    <n v="2821180"/>
    <n v="0.2"/>
    <n v="2256944"/>
    <s v="Cash"/>
    <x v="2"/>
    <d v="2023-10-06T00:00:00"/>
    <x v="3"/>
    <s v="REP-07"/>
  </r>
  <r>
    <s v="ORD-????"/>
    <x v="18"/>
    <x v="5"/>
    <s v="Electronics"/>
    <x v="0"/>
    <s v="Benin"/>
    <n v="12"/>
    <n v="186066"/>
    <n v="2232792"/>
    <n v="5.0000000000000044E-2"/>
    <n v="2121152.4"/>
    <s v="Card"/>
    <x v="1"/>
    <d v="2023-09-23T00:00:00"/>
    <x v="8"/>
    <s v="REP-05"/>
  </r>
  <r>
    <s v="ORD-0549"/>
    <x v="8"/>
    <x v="6"/>
    <s v="Electronics"/>
    <x v="4"/>
    <s v="Osogbo"/>
    <n v="12"/>
    <n v="368751"/>
    <n v="4425012"/>
    <n v="4.9999999999999913E-2"/>
    <n v="4203761.4000000004"/>
    <s v="Card"/>
    <x v="2"/>
    <d v="2023-09-23T00:00:00"/>
    <x v="8"/>
    <s v="REP-01"/>
  </r>
  <r>
    <s v="ORD-0231"/>
    <x v="6"/>
    <x v="8"/>
    <s v="Accessories"/>
    <x v="0"/>
    <s v="Benin"/>
    <n v="19"/>
    <n v="54816"/>
    <n v="1041504"/>
    <n v="0"/>
    <n v="1041504"/>
    <s v="Card"/>
    <x v="3"/>
    <d v="2023-09-02T00:00:00"/>
    <x v="8"/>
    <s v="REP-03"/>
  </r>
  <r>
    <s v="ORD-0490"/>
    <x v="14"/>
    <x v="9"/>
    <s v="Electronics"/>
    <x v="3"/>
    <s v="Kaduna"/>
    <n v="8"/>
    <n v="24356"/>
    <n v="194848"/>
    <n v="9.9999999999999936E-2"/>
    <n v="175363.20000000001"/>
    <s v="Cash"/>
    <x v="0"/>
    <d v="2023-08-16T00:00:00"/>
    <x v="0"/>
    <s v="REP-01"/>
  </r>
  <r>
    <s v="ORD-0379"/>
    <x v="5"/>
    <x v="4"/>
    <s v="Accessories"/>
    <x v="1"/>
    <s v="Makurdi"/>
    <n v="2"/>
    <n v="6699"/>
    <n v="13398"/>
    <n v="9.999999999999995E-2"/>
    <n v="12058.2"/>
    <s v="POS"/>
    <x v="2"/>
    <d v="2023-11-23T00:00:00"/>
    <x v="7"/>
    <s v="REP-06"/>
  </r>
  <r>
    <s v="ORD-0289"/>
    <x v="5"/>
    <x v="4"/>
    <s v="Accessories"/>
    <x v="3"/>
    <s v="Abuja"/>
    <n v="7"/>
    <n v="84139.71428571429"/>
    <n v="588978"/>
    <n v="0"/>
    <n v="588978"/>
    <s v="Card"/>
    <x v="1"/>
    <d v="2023-02-08T00:00:00"/>
    <x v="9"/>
    <s v="REP-03"/>
  </r>
  <r>
    <s v="ORD-0419"/>
    <x v="3"/>
    <x v="2"/>
    <s v="Electronics"/>
    <x v="4"/>
    <s v="Abeokuta"/>
    <n v="19"/>
    <n v="38244"/>
    <n v="726636"/>
    <n v="9.9999999999999964E-2"/>
    <n v="653972.4"/>
    <s v="Transfer"/>
    <x v="0"/>
    <d v="2023-11-13T00:00:00"/>
    <x v="7"/>
    <s v="REP-04"/>
  </r>
  <r>
    <s v="ord329"/>
    <x v="20"/>
    <x v="5"/>
    <s v="Electronics"/>
    <x v="2"/>
    <s v="Onitsha"/>
    <n v="20"/>
    <n v="195353"/>
    <n v="3907060"/>
    <n v="0.1"/>
    <n v="3516354"/>
    <s v="POS"/>
    <x v="3"/>
    <d v="2023-06-08T00:00:00"/>
    <x v="10"/>
    <s v="REP-09"/>
  </r>
  <r>
    <s v="ORD-0499"/>
    <x v="2"/>
    <x v="3"/>
    <s v="Accessories"/>
    <x v="0"/>
    <s v="Benin"/>
    <n v="19"/>
    <n v="75956"/>
    <n v="1443164"/>
    <n v="4.9999999999999968E-2"/>
    <n v="1371005.8"/>
    <s v="Card"/>
    <x v="1"/>
    <d v="2023-03-21T00:00:00"/>
    <x v="2"/>
    <s v="REP-10"/>
  </r>
  <r>
    <s v="ORD-0139"/>
    <x v="16"/>
    <x v="8"/>
    <s v="Accessories"/>
    <x v="3"/>
    <s v="Port Harcourt"/>
    <n v="6"/>
    <n v="28703"/>
    <n v="172218"/>
    <n v="0.20000000000000004"/>
    <n v="137774.39999999999"/>
    <s v="POS"/>
    <x v="3"/>
    <d v="2023-12-07T00:00:00"/>
    <x v="4"/>
    <s v="REP-04"/>
  </r>
  <r>
    <s v="ORD-0063"/>
    <x v="1"/>
    <x v="3"/>
    <s v="Accessories"/>
    <x v="4"/>
    <s v="Osogbo"/>
    <n v="16"/>
    <n v="77768"/>
    <n v="1244288"/>
    <n v="4.9999999999999926E-2"/>
    <n v="1182073.6000000001"/>
    <s v="POS"/>
    <x v="1"/>
    <d v="2023-03-01T00:00:00"/>
    <x v="2"/>
    <s v="REP-05"/>
  </r>
  <r>
    <s v="ORD-0472"/>
    <x v="18"/>
    <x v="1"/>
    <s v="Electronics"/>
    <x v="1"/>
    <s v="Jos"/>
    <n v="20"/>
    <n v="38546"/>
    <n v="770920"/>
    <n v="0"/>
    <n v="770920"/>
    <s v="Cash"/>
    <x v="3"/>
    <d v="2023-04-21T00:00:00"/>
    <x v="1"/>
    <s v="REP-08"/>
  </r>
  <r>
    <s v="ORD-0129"/>
    <x v="20"/>
    <x v="0"/>
    <s v="Accessories"/>
    <x v="0"/>
    <s v="Port Harcourt"/>
    <n v="3"/>
    <n v="28218"/>
    <n v="84654"/>
    <n v="0.15000000000000008"/>
    <n v="71955.899999999994"/>
    <s v="POS"/>
    <x v="0"/>
    <d v="2023-11-11T00:00:00"/>
    <x v="7"/>
    <s v="REP-03"/>
  </r>
  <r>
    <s v="ORD-0042"/>
    <x v="20"/>
    <x v="0"/>
    <s v="Accessory"/>
    <x v="1"/>
    <s v="Makurdi"/>
    <n v="11"/>
    <n v="65946"/>
    <n v="725406"/>
    <n v="0.15000000000000002"/>
    <n v="616595.1"/>
    <s v="Card"/>
    <x v="1"/>
    <d v="2023-06-12T00:00:00"/>
    <x v="10"/>
    <s v="REP-02"/>
  </r>
  <r>
    <s v="ORD-0521"/>
    <x v="6"/>
    <x v="1"/>
    <s v="Electronics"/>
    <x v="1"/>
    <s v="Jos"/>
    <n v="16"/>
    <n v="69553"/>
    <n v="1112848"/>
    <n v="4.999999999999992E-2"/>
    <n v="1057205.6000000001"/>
    <s v="Transfer"/>
    <x v="2"/>
    <d v="2023-04-01T00:00:00"/>
    <x v="1"/>
    <s v="REP-01"/>
  </r>
  <r>
    <s v="ORD-0065"/>
    <x v="0"/>
    <x v="4"/>
    <s v="Accessories"/>
    <x v="4"/>
    <s v="Ibadan"/>
    <n v="9"/>
    <n v="45189"/>
    <n v="406701"/>
    <n v="9.9999999999999936E-2"/>
    <n v="366030.9"/>
    <s v="Card"/>
    <x v="0"/>
    <d v="2023-02-24T00:00:00"/>
    <x v="9"/>
    <s v="REP-09"/>
  </r>
  <r>
    <s v="ORD-0015"/>
    <x v="10"/>
    <x v="2"/>
    <s v="Electronics"/>
    <x v="0"/>
    <s v="Port Harcourt"/>
    <n v="16"/>
    <n v="77063"/>
    <n v="1233008"/>
    <n v="4.9999999999999926E-2"/>
    <n v="1171357.6000000001"/>
    <s v="POS"/>
    <x v="2"/>
    <d v="2023-09-25T00:00:00"/>
    <x v="8"/>
    <s v="REP-04"/>
  </r>
  <r>
    <s v="#8014"/>
    <x v="16"/>
    <x v="7"/>
    <s v="Electronics"/>
    <x v="3"/>
    <s v="Kano"/>
    <n v="13"/>
    <n v="340479"/>
    <n v="4426227"/>
    <n v="0.19999999999999998"/>
    <n v="3540981.6"/>
    <s v="Card"/>
    <x v="1"/>
    <d v="2023-05-01T00:00:00"/>
    <x v="5"/>
    <s v="REP-02"/>
  </r>
  <r>
    <s v="ORD-0041"/>
    <x v="15"/>
    <x v="8"/>
    <s v="Accessories"/>
    <x v="4"/>
    <s v="Osogbo"/>
    <n v="6"/>
    <n v="79593"/>
    <n v="477558"/>
    <n v="9.9999999999999978E-2"/>
    <n v="429802.2"/>
    <s v="Cash"/>
    <x v="0"/>
    <d v="2023-07-05T00:00:00"/>
    <x v="6"/>
    <s v="REP-07"/>
  </r>
  <r>
    <s v="ORD-0493"/>
    <x v="4"/>
    <x v="5"/>
    <s v="Electronics"/>
    <x v="3"/>
    <s v="Kaduna"/>
    <n v="15"/>
    <n v="493281"/>
    <n v="7399215"/>
    <n v="0"/>
    <n v="7399215"/>
    <s v="Transfer"/>
    <x v="0"/>
    <d v="2023-01-02T00:00:00"/>
    <x v="11"/>
    <s v="REP-05"/>
  </r>
  <r>
    <s v="ORD-0380"/>
    <x v="8"/>
    <x v="0"/>
    <s v="Accessories"/>
    <x v="1"/>
    <s v="Lokoja"/>
    <n v="20"/>
    <n v="30751"/>
    <n v="615020"/>
    <n v="0.05"/>
    <n v="584269"/>
    <s v="Card"/>
    <x v="3"/>
    <d v="2023-06-03T00:00:00"/>
    <x v="10"/>
    <s v="REP-09"/>
  </r>
  <r>
    <s v="ORD-0188"/>
    <x v="3"/>
    <x v="1"/>
    <s v="Electronics"/>
    <x v="2"/>
    <s v="Port Harcourt"/>
    <n v="7"/>
    <n v="75592"/>
    <n v="529144"/>
    <n v="0.10000000000000005"/>
    <n v="476229.6"/>
    <s v="Transfer"/>
    <x v="2"/>
    <d v="2023-02-20T00:00:00"/>
    <x v="9"/>
    <s v="REP-10"/>
  </r>
  <r>
    <s v="ORD-0217"/>
    <x v="12"/>
    <x v="4"/>
    <s v="Accessories"/>
    <x v="0"/>
    <s v="Port Harcourt"/>
    <n v="12"/>
    <n v="46015"/>
    <n v="552180"/>
    <n v="0.15"/>
    <n v="469353"/>
    <s v="Card"/>
    <x v="2"/>
    <d v="2023-09-01T00:00:00"/>
    <x v="8"/>
    <s v="REP-09"/>
  </r>
  <r>
    <s v="ORD-0338"/>
    <x v="19"/>
    <x v="6"/>
    <s v="Electronics"/>
    <x v="1"/>
    <s v="Lokoja"/>
    <n v="20"/>
    <n v="298204"/>
    <n v="5964080"/>
    <n v="0.1"/>
    <n v="5367672"/>
    <s v="Cash"/>
    <x v="0"/>
    <d v="2023-05-21T00:00:00"/>
    <x v="5"/>
    <s v="REP-06"/>
  </r>
  <r>
    <s v="ORD-0296"/>
    <x v="3"/>
    <x v="2"/>
    <s v="Electronics"/>
    <x v="3"/>
    <s v="Kano"/>
    <n v="13"/>
    <n v="64270"/>
    <n v="835510"/>
    <n v="0.2"/>
    <n v="668408"/>
    <s v="Unknown"/>
    <x v="1"/>
    <d v="2023-02-26T00:00:00"/>
    <x v="9"/>
    <s v="REP-03"/>
  </r>
  <r>
    <s v="ORD-0252"/>
    <x v="13"/>
    <x v="0"/>
    <s v="Accessories"/>
    <x v="0"/>
    <s v="Lagos"/>
    <n v="10"/>
    <n v="16108"/>
    <n v="161080"/>
    <n v="0.05"/>
    <n v="153026"/>
    <s v="Card"/>
    <x v="0"/>
    <d v="2023-06-02T00:00:00"/>
    <x v="10"/>
    <s v="REP-06"/>
  </r>
  <r>
    <s v="ORD-0462"/>
    <x v="11"/>
    <x v="3"/>
    <s v="Accessories"/>
    <x v="2"/>
    <s v="Aba"/>
    <n v="2"/>
    <n v="33545"/>
    <n v="67090"/>
    <n v="0"/>
    <n v="67090"/>
    <s v="POS"/>
    <x v="0"/>
    <d v="2023-06-01T00:00:00"/>
    <x v="10"/>
    <s v="REP-05"/>
  </r>
  <r>
    <s v="ORD-0456"/>
    <x v="10"/>
    <x v="5"/>
    <s v="Electronics"/>
    <x v="3"/>
    <s v="Abuja"/>
    <n v="15"/>
    <n v="473868"/>
    <n v="7108020"/>
    <n v="0.15"/>
    <n v="6041817"/>
    <s v="POS"/>
    <x v="2"/>
    <d v="2023-01-06T00:00:00"/>
    <x v="11"/>
    <s v="REP-03"/>
  </r>
  <r>
    <s v="ORD-0270"/>
    <x v="8"/>
    <x v="9"/>
    <s v="Electronics"/>
    <x v="3"/>
    <s v="Kano"/>
    <n v="4"/>
    <n v="46071"/>
    <n v="184284"/>
    <n v="9.9999999999999964E-2"/>
    <n v="165855.6"/>
    <s v="POS"/>
    <x v="2"/>
    <d v="2023-11-22T00:00:00"/>
    <x v="7"/>
    <s v="REP-03"/>
  </r>
  <r>
    <s v="ORD-0202"/>
    <x v="10"/>
    <x v="6"/>
    <s v="Electronics"/>
    <x v="4"/>
    <s v="Ibadan"/>
    <n v="10"/>
    <n v="161413"/>
    <n v="1614130"/>
    <n v="0.15"/>
    <n v="1372010.5"/>
    <s v="Card"/>
    <x v="3"/>
    <d v="2023-01-14T00:00:00"/>
    <x v="11"/>
    <s v="REP-06"/>
  </r>
  <r>
    <s v="ORD-0162"/>
    <x v="8"/>
    <x v="4"/>
    <s v="Accessories"/>
    <x v="3"/>
    <s v="Kano"/>
    <n v="18"/>
    <n v="76063"/>
    <n v="1369134"/>
    <n v="9.9999999999999936E-2"/>
    <n v="1232220.6000000001"/>
    <s v="Card"/>
    <x v="0"/>
    <d v="2023-08-09T00:00:00"/>
    <x v="0"/>
    <s v="REP-02"/>
  </r>
  <r>
    <s v="ORD-0556"/>
    <x v="1"/>
    <x v="0"/>
    <s v="Accessories"/>
    <x v="2"/>
    <s v="Aba"/>
    <n v="19"/>
    <n v="39136"/>
    <n v="743584"/>
    <n v="0"/>
    <n v="743584"/>
    <s v="Card"/>
    <x v="3"/>
    <d v="2023-10-11T00:00:00"/>
    <x v="3"/>
    <s v="REP-10"/>
  </r>
  <r>
    <s v="ORD-0402"/>
    <x v="18"/>
    <x v="6"/>
    <s v="Electronics"/>
    <x v="1"/>
    <s v="Lokoja"/>
    <n v="16"/>
    <n v="492836"/>
    <n v="7885376"/>
    <n v="4.9999999999999975E-2"/>
    <n v="7491107.2000000002"/>
    <s v="Card"/>
    <x v="0"/>
    <d v="2023-03-15T00:00:00"/>
    <x v="2"/>
    <s v="REP-09"/>
  </r>
  <r>
    <s v="ORD-0477"/>
    <x v="6"/>
    <x v="4"/>
    <s v="Accessories"/>
    <x v="2"/>
    <s v="Enugu"/>
    <n v="14"/>
    <n v="61438"/>
    <n v="860132"/>
    <n v="9.999999999999995E-2"/>
    <n v="774118.8"/>
    <s v="Card"/>
    <x v="1"/>
    <d v="2023-09-24T00:00:00"/>
    <x v="8"/>
    <s v="REP-05"/>
  </r>
  <r>
    <s v="ORD-0106"/>
    <x v="9"/>
    <x v="7"/>
    <s v="Electronics"/>
    <x v="3"/>
    <s v="Kano"/>
    <n v="11"/>
    <n v="277700"/>
    <n v="3054700"/>
    <n v="0.05"/>
    <n v="2901965"/>
    <s v="Cash"/>
    <x v="2"/>
    <d v="2023-07-10T00:00:00"/>
    <x v="6"/>
    <s v="REP-04"/>
  </r>
  <r>
    <s v="ORD-0566"/>
    <x v="4"/>
    <x v="5"/>
    <s v="Electronics"/>
    <x v="0"/>
    <s v="Lagos"/>
    <n v="2"/>
    <n v="162425"/>
    <n v="324850"/>
    <n v="0.2"/>
    <n v="259880"/>
    <s v="Card"/>
    <x v="3"/>
    <d v="2023-04-12T00:00:00"/>
    <x v="1"/>
    <s v="REP-02"/>
  </r>
  <r>
    <s v="ORD-0390"/>
    <x v="7"/>
    <x v="6"/>
    <s v="Electronics"/>
    <x v="3"/>
    <s v="Kaduna"/>
    <n v="19"/>
    <n v="269351"/>
    <n v="5117669"/>
    <n v="0.10000000000000007"/>
    <n v="4605902.0999999996"/>
    <s v="POS"/>
    <x v="1"/>
    <d v="2023-11-07T00:00:00"/>
    <x v="7"/>
    <s v="REP-01"/>
  </r>
  <r>
    <s v="ORD-0002"/>
    <x v="6"/>
    <x v="7"/>
    <s v="Electronics"/>
    <x v="3"/>
    <s v="Kano"/>
    <n v="7"/>
    <n v="271981"/>
    <n v="1903867"/>
    <n v="0.19999999999999996"/>
    <n v="1523093.6"/>
    <s v="Card"/>
    <x v="1"/>
    <d v="2023-04-15T00:00:00"/>
    <x v="1"/>
    <s v="REP-10"/>
  </r>
  <r>
    <s v="ORD-0587"/>
    <x v="1"/>
    <x v="5"/>
    <s v="Electronics"/>
    <x v="3"/>
    <s v="Kaduna"/>
    <n v="7"/>
    <n v="209076"/>
    <n v="1463532"/>
    <n v="5.0000000000000065E-2"/>
    <n v="1390355.4"/>
    <s v="Card"/>
    <x v="2"/>
    <d v="2023-02-11T00:00:00"/>
    <x v="9"/>
    <s v="REP-01"/>
  </r>
  <r>
    <s v="ORD-0562"/>
    <x v="14"/>
    <x v="1"/>
    <s v="Electronics"/>
    <x v="2"/>
    <s v="Onitsha"/>
    <n v="5"/>
    <n v="74526"/>
    <n v="372630"/>
    <n v="0.15"/>
    <n v="316735.5"/>
    <s v="POS"/>
    <x v="1"/>
    <d v="2023-11-11T00:00:00"/>
    <x v="7"/>
    <s v="REP-09"/>
  </r>
  <r>
    <s v="ORD-0081"/>
    <x v="10"/>
    <x v="0"/>
    <s v="Accessories"/>
    <x v="4"/>
    <s v="Osogbo"/>
    <n v="15"/>
    <n v="11764"/>
    <n v="176460"/>
    <n v="0.05"/>
    <n v="167637"/>
    <s v="Card"/>
    <x v="0"/>
    <d v="2023-08-23T00:00:00"/>
    <x v="0"/>
    <s v="REP-08"/>
  </r>
  <r>
    <s v="ORD-0206"/>
    <x v="5"/>
    <x v="3"/>
    <s v="Accessories"/>
    <x v="4"/>
    <s v="Osogbo"/>
    <n v="12"/>
    <n v="25332"/>
    <n v="303984"/>
    <n v="0.10000000000000007"/>
    <n v="273585.59999999998"/>
    <s v="Cash"/>
    <x v="3"/>
    <d v="2023-11-14T00:00:00"/>
    <x v="7"/>
    <s v="REP-10"/>
  </r>
  <r>
    <s v="ORD-0035"/>
    <x v="15"/>
    <x v="8"/>
    <s v="Accessories"/>
    <x v="0"/>
    <s v="Lagos"/>
    <n v="9"/>
    <n v="25866"/>
    <n v="232794"/>
    <n v="0"/>
    <n v="232794"/>
    <s v="POS"/>
    <x v="2"/>
    <d v="2023-04-27T00:00:00"/>
    <x v="1"/>
    <s v="REP-08"/>
  </r>
  <r>
    <s v="ORD-0509"/>
    <x v="3"/>
    <x v="9"/>
    <s v="Electronics"/>
    <x v="1"/>
    <s v="Jos"/>
    <n v="4"/>
    <n v="28562"/>
    <n v="114248"/>
    <n v="0.20000000000000004"/>
    <n v="91398.399999999994"/>
    <s v="POS"/>
    <x v="1"/>
    <d v="2023-06-15T00:00:00"/>
    <x v="10"/>
    <s v="REP-01"/>
  </r>
  <r>
    <s v="ORD-0428"/>
    <x v="10"/>
    <x v="9"/>
    <s v="Electronics"/>
    <x v="1"/>
    <s v="Makurdi"/>
    <n v="9"/>
    <n v="75504"/>
    <n v="679536"/>
    <n v="0.19999999999999993"/>
    <n v="543628.80000000005"/>
    <s v="POS"/>
    <x v="1"/>
    <d v="2023-10-16T00:00:00"/>
    <x v="3"/>
    <s v="REP-04"/>
  </r>
  <r>
    <s v="ORD-0455"/>
    <x v="3"/>
    <x v="8"/>
    <s v="Accessories"/>
    <x v="0"/>
    <s v="Benin"/>
    <n v="17"/>
    <n v="40633"/>
    <n v="690761"/>
    <n v="9.9999999999999964E-2"/>
    <n v="621684.9"/>
    <s v="POS"/>
    <x v="2"/>
    <d v="2023-06-02T00:00:00"/>
    <x v="10"/>
    <s v="REP-03"/>
  </r>
  <r>
    <s v="ORD-0367"/>
    <x v="13"/>
    <x v="6"/>
    <s v="Electronics"/>
    <x v="1"/>
    <s v="Lokoja"/>
    <n v="7"/>
    <n v="493196"/>
    <n v="3452372"/>
    <n v="0.14999999999999994"/>
    <n v="2934516.2"/>
    <s v="Cash"/>
    <x v="2"/>
    <d v="2023-11-08T00:00:00"/>
    <x v="7"/>
    <s v="REP-09"/>
  </r>
  <r>
    <s v="ORD-0092"/>
    <x v="7"/>
    <x v="4"/>
    <s v="Accessories"/>
    <x v="4"/>
    <s v="Osogbo"/>
    <n v="5"/>
    <n v="37007"/>
    <n v="185035"/>
    <n v="0.2"/>
    <n v="148028"/>
    <s v="Card"/>
    <x v="2"/>
    <d v="2023-03-03T00:00:00"/>
    <x v="2"/>
    <s v="REP-10"/>
  </r>
  <r>
    <s v="ORD-0340"/>
    <x v="15"/>
    <x v="7"/>
    <s v="Electronics"/>
    <x v="4"/>
    <s v="Abeokuta"/>
    <n v="10"/>
    <n v="286014"/>
    <n v="2860140"/>
    <n v="0.15"/>
    <n v="2431119"/>
    <s v="Cash"/>
    <x v="2"/>
    <d v="2023-06-24T00:00:00"/>
    <x v="10"/>
    <s v="REP-04"/>
  </r>
  <r>
    <s v="ORD-0565"/>
    <x v="17"/>
    <x v="7"/>
    <s v="Electronics"/>
    <x v="3"/>
    <s v="Kano"/>
    <n v="1"/>
    <n v="365612"/>
    <n v="365612"/>
    <n v="0"/>
    <n v="365612"/>
    <s v="POS"/>
    <x v="0"/>
    <d v="2023-04-24T00:00:00"/>
    <x v="1"/>
    <s v="REP-05"/>
  </r>
  <r>
    <s v="ORD-0346"/>
    <x v="16"/>
    <x v="1"/>
    <s v="Electronics"/>
    <x v="2"/>
    <s v="Onitsha"/>
    <n v="7"/>
    <n v="27099"/>
    <n v="189693"/>
    <n v="0.20000000000000004"/>
    <n v="151754.4"/>
    <s v="Cash"/>
    <x v="2"/>
    <d v="2023-10-14T00:00:00"/>
    <x v="3"/>
    <s v="REP-07"/>
  </r>
  <r>
    <s v="ORD-0242"/>
    <x v="1"/>
    <x v="8"/>
    <s v="Accessories"/>
    <x v="4"/>
    <s v="Osogbo"/>
    <n v="3"/>
    <n v="63860"/>
    <n v="191580"/>
    <n v="0.2"/>
    <n v="153264"/>
    <s v="POS"/>
    <x v="1"/>
    <d v="2023-02-09T00:00:00"/>
    <x v="9"/>
    <s v="REP-06"/>
  </r>
  <r>
    <s v="ORD-0014"/>
    <x v="9"/>
    <x v="4"/>
    <s v="Accessories"/>
    <x v="2"/>
    <s v="Enugu"/>
    <n v="8"/>
    <n v="12592"/>
    <n v="100736"/>
    <n v="5.0000000000000031E-2"/>
    <n v="95699.199999999997"/>
    <s v="Cash"/>
    <x v="1"/>
    <d v="2023-02-25T00:00:00"/>
    <x v="9"/>
    <s v="REP-09"/>
  </r>
  <r>
    <s v="ORD-0316"/>
    <x v="7"/>
    <x v="1"/>
    <s v="Electronics"/>
    <x v="3"/>
    <s v="Kano"/>
    <n v="14"/>
    <n v="26626"/>
    <n v="372764"/>
    <n v="0.19999999999999996"/>
    <n v="298211.20000000001"/>
    <s v="Cash"/>
    <x v="3"/>
    <d v="2023-07-06T00:00:00"/>
    <x v="6"/>
    <s v="REP-04"/>
  </r>
  <r>
    <s v="ORD-0388"/>
    <x v="5"/>
    <x v="2"/>
    <s v="Electronics"/>
    <x v="1"/>
    <s v="Makurdi"/>
    <n v="18"/>
    <n v="5960"/>
    <n v="107280"/>
    <n v="0"/>
    <n v="107280"/>
    <s v="Card"/>
    <x v="1"/>
    <d v="2023-07-02T00:00:00"/>
    <x v="6"/>
    <s v="REP-09"/>
  </r>
  <r>
    <s v="ORD-0274"/>
    <x v="0"/>
    <x v="6"/>
    <s v="Electronics"/>
    <x v="1"/>
    <s v="Makurdi"/>
    <n v="17"/>
    <n v="248905"/>
    <n v="4231385"/>
    <n v="0.15"/>
    <n v="3596677.25"/>
    <s v="Cash"/>
    <x v="2"/>
    <d v="2023-08-13T00:00:00"/>
    <x v="0"/>
    <s v="REP-02"/>
  </r>
  <r>
    <s v="ORD-0167"/>
    <x v="8"/>
    <x v="5"/>
    <s v="Electronics"/>
    <x v="3"/>
    <s v="Port Harcourt"/>
    <n v="18"/>
    <n v="293891"/>
    <n v="5290038"/>
    <n v="5.0000000000000072E-2"/>
    <n v="5025536.0999999996"/>
    <s v="Cash"/>
    <x v="2"/>
    <d v="2023-10-19T00:00:00"/>
    <x v="3"/>
    <s v="REP-03"/>
  </r>
  <r>
    <s v="ORD-0485"/>
    <x v="9"/>
    <x v="2"/>
    <s v="Electronics"/>
    <x v="0"/>
    <s v="Port Harcourt"/>
    <n v="11"/>
    <n v="15819"/>
    <n v="174009"/>
    <n v="0.15000000000000002"/>
    <n v="147907.65"/>
    <s v="Cash"/>
    <x v="1"/>
    <d v="2023-03-05T00:00:00"/>
    <x v="2"/>
    <s v="REP-07"/>
  </r>
  <r>
    <s v="ORD-0117"/>
    <x v="10"/>
    <x v="9"/>
    <s v="Electronics"/>
    <x v="2"/>
    <s v="Aba"/>
    <n v="18"/>
    <n v="53176"/>
    <n v="957168"/>
    <n v="0"/>
    <n v="957168"/>
    <s v="Card"/>
    <x v="1"/>
    <d v="2023-09-25T00:00:00"/>
    <x v="8"/>
    <s v="REP-10"/>
  </r>
  <r>
    <s v="ORD-0505"/>
    <x v="1"/>
    <x v="3"/>
    <s v="Accessories"/>
    <x v="3"/>
    <s v="Abuja"/>
    <n v="6"/>
    <n v="62577"/>
    <n v="375462"/>
    <n v="0.20000000000000007"/>
    <n v="300369.59999999998"/>
    <s v="Transfer"/>
    <x v="1"/>
    <d v="2023-04-14T00:00:00"/>
    <x v="1"/>
    <s v="REP-07"/>
  </r>
  <r>
    <s v="ORD-0244"/>
    <x v="17"/>
    <x v="9"/>
    <s v="Electronics"/>
    <x v="3"/>
    <s v="Abuja"/>
    <n v="4"/>
    <n v="38913"/>
    <n v="155652"/>
    <n v="5.0000000000000037E-2"/>
    <n v="147869.4"/>
    <s v="Card"/>
    <x v="1"/>
    <d v="2023-04-14T00:00:00"/>
    <x v="1"/>
    <s v="REP-08"/>
  </r>
  <r>
    <s v="ORD-0567"/>
    <x v="19"/>
    <x v="0"/>
    <s v="Accessories"/>
    <x v="0"/>
    <s v="Port Harcourt"/>
    <n v="13"/>
    <n v="79195"/>
    <n v="1029535"/>
    <n v="0.05"/>
    <n v="978058.25"/>
    <s v="Card"/>
    <x v="0"/>
    <d v="2023-05-15T00:00:00"/>
    <x v="5"/>
    <s v="REP-02"/>
  </r>
  <r>
    <s v="ORD-0563"/>
    <x v="7"/>
    <x v="7"/>
    <s v="Electronics"/>
    <x v="3"/>
    <s v="Abuja"/>
    <n v="18"/>
    <n v="484193"/>
    <n v="8715474"/>
    <n v="0.10000000000000005"/>
    <n v="7843926.5999999996"/>
    <s v="Transfer"/>
    <x v="0"/>
    <d v="2023-09-05T00:00:00"/>
    <x v="8"/>
    <s v="REP-02"/>
  </r>
  <r>
    <s v="ORD-0190"/>
    <x v="7"/>
    <x v="9"/>
    <s v="Electronics"/>
    <x v="0"/>
    <s v="Port Harcourt"/>
    <n v="2"/>
    <n v="38567.5"/>
    <n v="77135"/>
    <n v="0.05"/>
    <n v="73278.25"/>
    <s v="POS"/>
    <x v="1"/>
    <d v="2023-07-11T00:00:00"/>
    <x v="6"/>
    <s v="REP-05"/>
  </r>
  <r>
    <s v="ORD-0476"/>
    <x v="17"/>
    <x v="9"/>
    <s v="Electronics"/>
    <x v="0"/>
    <s v="Benin"/>
    <n v="6"/>
    <n v="77085"/>
    <n v="462510"/>
    <n v="0.15"/>
    <n v="393133.5"/>
    <s v="Card"/>
    <x v="1"/>
    <d v="2023-11-06T00:00:00"/>
    <x v="7"/>
    <s v="REP-09"/>
  </r>
  <r>
    <s v="ord488"/>
    <x v="17"/>
    <x v="9"/>
    <s v="Electronics"/>
    <x v="3"/>
    <s v="Abuja"/>
    <n v="15"/>
    <n v="52571"/>
    <n v="788565"/>
    <n v="0"/>
    <n v="788565"/>
    <s v="POS"/>
    <x v="2"/>
    <d v="2023-07-18T00:00:00"/>
    <x v="6"/>
    <s v="REP-07"/>
  </r>
  <r>
    <s v="ORD-0059"/>
    <x v="18"/>
    <x v="7"/>
    <s v="Electronics"/>
    <x v="4"/>
    <s v="Osogbo"/>
    <n v="16"/>
    <n v="205332"/>
    <n v="3285312"/>
    <n v="0.14999999999999994"/>
    <n v="2792515.2"/>
    <s v="POS"/>
    <x v="2"/>
    <d v="2023-06-07T00:00:00"/>
    <x v="10"/>
    <s v="REP-09"/>
  </r>
  <r>
    <s v="ORD-0475"/>
    <x v="7"/>
    <x v="3"/>
    <s v="Accessories"/>
    <x v="1"/>
    <s v="Makurdi"/>
    <n v="6"/>
    <n v="78193"/>
    <n v="469158"/>
    <n v="0.19999999999999996"/>
    <n v="375326.4"/>
    <s v="Cash"/>
    <x v="0"/>
    <d v="2023-11-15T00:00:00"/>
    <x v="7"/>
    <s v="REP-07"/>
  </r>
  <r>
    <s v="ORD-0561"/>
    <x v="8"/>
    <x v="7"/>
    <s v="Electronics"/>
    <x v="0"/>
    <s v="Benin"/>
    <n v="15"/>
    <n v="359057"/>
    <n v="5385855"/>
    <n v="0.15"/>
    <n v="4577976.75"/>
    <s v="Card"/>
    <x v="1"/>
    <d v="2023-11-23T00:00:00"/>
    <x v="7"/>
    <s v="REP-07"/>
  </r>
  <r>
    <s v="ORD-0253"/>
    <x v="2"/>
    <x v="2"/>
    <s v="Electronics"/>
    <x v="1"/>
    <s v="Makurdi"/>
    <n v="13"/>
    <n v="59819"/>
    <n v="777647"/>
    <n v="0.20000000000000004"/>
    <n v="622117.6"/>
    <s v="POS"/>
    <x v="1"/>
    <d v="2023-03-16T00:00:00"/>
    <x v="2"/>
    <s v="REP-09"/>
  </r>
  <r>
    <s v="ORD-0022"/>
    <x v="16"/>
    <x v="1"/>
    <s v="Electronics"/>
    <x v="4"/>
    <s v="Abeokuta"/>
    <n v="7"/>
    <n v="57565"/>
    <n v="402955"/>
    <n v="0"/>
    <n v="402955"/>
    <s v="Cash"/>
    <x v="1"/>
    <d v="2023-05-26T00:00:00"/>
    <x v="5"/>
    <s v="REP-08"/>
  </r>
  <r>
    <s v="ORD-0314"/>
    <x v="20"/>
    <x v="9"/>
    <s v="Electronics"/>
    <x v="4"/>
    <s v="Ibadan"/>
    <n v="19"/>
    <n v="34567"/>
    <n v="656773"/>
    <n v="5.0000000000000037E-2"/>
    <n v="623934.35"/>
    <s v="Unknown"/>
    <x v="0"/>
    <d v="2023-11-01T00:00:00"/>
    <x v="7"/>
    <s v="REP-05"/>
  </r>
  <r>
    <s v="ORD-0460"/>
    <x v="20"/>
    <x v="8"/>
    <s v="Accessories"/>
    <x v="3"/>
    <s v="Kano"/>
    <n v="4"/>
    <n v="37631"/>
    <n v="150524"/>
    <n v="0.15000000000000005"/>
    <n v="127945.4"/>
    <s v="Cash"/>
    <x v="2"/>
    <d v="2023-08-24T00:00:00"/>
    <x v="0"/>
    <s v="REP-02"/>
  </r>
  <r>
    <s v="ORD-0161"/>
    <x v="16"/>
    <x v="3"/>
    <s v="Accessories"/>
    <x v="3"/>
    <s v="Abuja"/>
    <n v="5"/>
    <n v="14706"/>
    <n v="73530"/>
    <n v="0.15"/>
    <n v="62500.5"/>
    <s v="POS"/>
    <x v="3"/>
    <d v="2023-11-28T00:00:00"/>
    <x v="7"/>
    <s v="REP-06"/>
  </r>
  <r>
    <s v="ORD-0277"/>
    <x v="7"/>
    <x v="7"/>
    <s v="Electronics"/>
    <x v="4"/>
    <s v="Abeokuta"/>
    <n v="17"/>
    <n v="300202"/>
    <n v="5103434"/>
    <n v="0.19999999999999996"/>
    <n v="4082747.2"/>
    <s v="POS"/>
    <x v="3"/>
    <d v="2023-11-18T00:00:00"/>
    <x v="7"/>
    <s v="REP-09"/>
  </r>
  <r>
    <s v="ORD-0192"/>
    <x v="12"/>
    <x v="7"/>
    <s v="Electronics"/>
    <x v="4"/>
    <s v="Ibadan"/>
    <n v="16"/>
    <n v="247680"/>
    <n v="3962880"/>
    <n v="0.1"/>
    <n v="3566592"/>
    <s v="Transfer"/>
    <x v="3"/>
    <d v="2023-10-06T00:00:00"/>
    <x v="3"/>
    <s v="REP-08"/>
  </r>
  <r>
    <s v="ORD-0386"/>
    <x v="19"/>
    <x v="0"/>
    <s v="Accessories"/>
    <x v="0"/>
    <s v="Benin"/>
    <n v="2"/>
    <n v="47065"/>
    <n v="94130"/>
    <n v="0.15"/>
    <n v="80010.5"/>
    <s v="Transfer"/>
    <x v="0"/>
    <d v="2023-01-17T00:00:00"/>
    <x v="11"/>
    <s v="REP-06"/>
  </r>
  <r>
    <s v="ORD-0414"/>
    <x v="7"/>
    <x v="9"/>
    <s v="Electronics"/>
    <x v="3"/>
    <s v="Kano"/>
    <n v="7"/>
    <n v="73512"/>
    <n v="514584"/>
    <n v="0.19999999999999998"/>
    <n v="411667.20000000001"/>
    <s v="Cash"/>
    <x v="2"/>
    <d v="2023-08-20T00:00:00"/>
    <x v="0"/>
    <s v="REP-10"/>
  </r>
  <r>
    <s v="ORD-0492"/>
    <x v="12"/>
    <x v="7"/>
    <s v="Electronics"/>
    <x v="4"/>
    <s v="Abeokuta"/>
    <n v="19"/>
    <n v="497879"/>
    <n v="9459701"/>
    <n v="0.2"/>
    <n v="7567760.7999999998"/>
    <s v="Card"/>
    <x v="3"/>
    <d v="2023-05-07T00:00:00"/>
    <x v="5"/>
    <s v="REP-10"/>
  </r>
  <r>
    <s v="ORD-0344"/>
    <x v="12"/>
    <x v="9"/>
    <s v="Electronics"/>
    <x v="4"/>
    <s v="Ibadan"/>
    <n v="17"/>
    <n v="44106"/>
    <n v="749802"/>
    <n v="0.15000000000000005"/>
    <n v="637331.69999999995"/>
    <s v="Card"/>
    <x v="2"/>
    <d v="2023-06-14T00:00:00"/>
    <x v="10"/>
    <s v="REP-10"/>
  </r>
  <r>
    <s v="ORD-0309"/>
    <x v="3"/>
    <x v="2"/>
    <s v="Electronics"/>
    <x v="4"/>
    <s v="Osogbo"/>
    <n v="16"/>
    <n v="46586"/>
    <n v="745376"/>
    <n v="5.0000000000000065E-2"/>
    <n v="708107.2"/>
    <s v="Transfer"/>
    <x v="2"/>
    <d v="2023-11-19T00:00:00"/>
    <x v="7"/>
    <s v="REP-03"/>
  </r>
  <r>
    <s v="ORD-0131"/>
    <x v="8"/>
    <x v="1"/>
    <s v="Electronics"/>
    <x v="4"/>
    <s v="Ibadan"/>
    <n v="2"/>
    <n v="12456"/>
    <n v="24912"/>
    <n v="0.10000000000000003"/>
    <n v="22420.799999999999"/>
    <s v="Cash"/>
    <x v="1"/>
    <d v="2023-08-19T00:00:00"/>
    <x v="0"/>
    <s v="REP-09"/>
  </r>
  <r>
    <s v="ORD-0100"/>
    <x v="15"/>
    <x v="3"/>
    <s v="Accessories"/>
    <x v="4"/>
    <s v="Ibadan"/>
    <n v="18"/>
    <n v="52942"/>
    <n v="952956"/>
    <n v="0"/>
    <n v="952956"/>
    <s v="Transfer"/>
    <x v="3"/>
    <d v="2023-12-08T00:00:00"/>
    <x v="4"/>
    <s v="REP-05"/>
  </r>
  <r>
    <s v="ORD-0088"/>
    <x v="17"/>
    <x v="0"/>
    <s v="Accessories"/>
    <x v="2"/>
    <s v="Onitsha"/>
    <n v="4"/>
    <n v="62711"/>
    <n v="250844"/>
    <n v="0"/>
    <n v="250844"/>
    <s v="Cash"/>
    <x v="2"/>
    <d v="2023-07-28T00:00:00"/>
    <x v="6"/>
    <s v="REP-03"/>
  </r>
  <r>
    <s v="ORD-0459"/>
    <x v="15"/>
    <x v="4"/>
    <s v="Accessories"/>
    <x v="3"/>
    <s v="Kano"/>
    <n v="5"/>
    <n v="12345"/>
    <n v="61725"/>
    <n v="0.1"/>
    <n v="55552.5"/>
    <s v="POS"/>
    <x v="2"/>
    <d v="2023-04-27T00:00:00"/>
    <x v="1"/>
    <s v="REP-05"/>
  </r>
  <r>
    <s v="ORD-0331"/>
    <x v="17"/>
    <x v="7"/>
    <s v="Electronics"/>
    <x v="2"/>
    <s v="Lokoja"/>
    <n v="6"/>
    <n v="184402"/>
    <n v="1106412"/>
    <n v="9.9999999999999964E-2"/>
    <n v="995770.8"/>
    <s v="Card"/>
    <x v="3"/>
    <d v="2023-07-03T00:00:00"/>
    <x v="6"/>
    <s v="REP-04"/>
  </r>
  <r>
    <s v="ORD-0467"/>
    <x v="13"/>
    <x v="3"/>
    <s v="Accessories"/>
    <x v="1"/>
    <s v="Makurdi"/>
    <n v="6"/>
    <n v="76253"/>
    <n v="457518"/>
    <n v="9.9999999999999978E-2"/>
    <n v="411766.2"/>
    <s v="POS"/>
    <x v="0"/>
    <d v="2023-07-03T00:00:00"/>
    <x v="6"/>
    <s v="REP-09"/>
  </r>
  <r>
    <s v="ORD-0122"/>
    <x v="9"/>
    <x v="9"/>
    <s v="Electronics"/>
    <x v="2"/>
    <s v="Onitsha"/>
    <n v="14"/>
    <n v="19534"/>
    <n v="273476"/>
    <n v="0.10000000000000002"/>
    <n v="246128.4"/>
    <s v="Transfer"/>
    <x v="3"/>
    <d v="2023-04-13T00:00:00"/>
    <x v="1"/>
    <s v="REP-10"/>
  </r>
  <r>
    <s v="ORD-0180"/>
    <x v="1"/>
    <x v="0"/>
    <s v="Accessories"/>
    <x v="2"/>
    <s v="Aba"/>
    <n v="17"/>
    <n v="71809"/>
    <n v="1220753"/>
    <n v="0.19999999999999998"/>
    <n v="976602.4"/>
    <s v="Transfer"/>
    <x v="1"/>
    <d v="2023-12-01T00:00:00"/>
    <x v="4"/>
    <s v="REP-06"/>
  </r>
  <r>
    <s v="ORD-0021"/>
    <x v="19"/>
    <x v="1"/>
    <s v="Electronics"/>
    <x v="0"/>
    <s v="Lagos"/>
    <n v="3"/>
    <n v="63082"/>
    <n v="189246"/>
    <n v="0.20000000000000007"/>
    <n v="151396.79999999999"/>
    <s v="Cash"/>
    <x v="3"/>
    <d v="2023-06-04T00:00:00"/>
    <x v="10"/>
    <s v="REP-07"/>
  </r>
  <r>
    <s v="ORD-0072"/>
    <x v="4"/>
    <x v="9"/>
    <s v="Electronics"/>
    <x v="0"/>
    <s v="Lagos"/>
    <n v="8"/>
    <n v="27782"/>
    <n v="222256"/>
    <n v="0.20000000000000004"/>
    <n v="177804.79999999999"/>
    <s v="Cash"/>
    <x v="1"/>
    <d v="2023-08-23T00:00:00"/>
    <x v="0"/>
    <s v="REP-10"/>
  </r>
  <r>
    <s v="ORD-0107"/>
    <x v="2"/>
    <x v="4"/>
    <s v="Accessories"/>
    <x v="0"/>
    <s v="Lagos"/>
    <n v="20"/>
    <n v="5371"/>
    <n v="107420"/>
    <n v="0.1"/>
    <n v="96678"/>
    <s v="Transfer"/>
    <x v="2"/>
    <d v="2023-02-22T00:00:00"/>
    <x v="9"/>
    <s v="REP-01"/>
  </r>
  <r>
    <s v="ORD-0271"/>
    <x v="16"/>
    <x v="9"/>
    <s v="Electronics"/>
    <x v="1"/>
    <s v="Lokoja"/>
    <n v="19"/>
    <n v="6110"/>
    <n v="116090"/>
    <n v="0.2"/>
    <n v="92872"/>
    <s v="Transfer"/>
    <x v="2"/>
    <d v="2023-11-24T00:00:00"/>
    <x v="7"/>
    <s v="REP-03"/>
  </r>
  <r>
    <s v="ORD-0436"/>
    <x v="15"/>
    <x v="1"/>
    <s v="Electronics"/>
    <x v="2"/>
    <s v="Aba"/>
    <n v="1"/>
    <n v="6549"/>
    <n v="6549"/>
    <n v="4.9999999999999975E-2"/>
    <n v="6221.55"/>
    <s v="Cash"/>
    <x v="0"/>
    <d v="2023-06-20T00:00:00"/>
    <x v="10"/>
    <s v="REP-05"/>
  </r>
  <r>
    <s v="ORD-0103"/>
    <x v="7"/>
    <x v="2"/>
    <s v="Electronics"/>
    <x v="4"/>
    <s v="Osogbo"/>
    <n v="15"/>
    <n v="53629"/>
    <n v="804435"/>
    <n v="0.2"/>
    <n v="643548"/>
    <s v="Card"/>
    <x v="1"/>
    <d v="2023-04-11T00:00:00"/>
    <x v="1"/>
    <s v="REP-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45E144-3547-4B8F-A567-A74F07E4786F}" name="Customer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2:K23" firstHeaderRow="1" firstDataRow="1" firstDataCol="1"/>
  <pivotFields count="16">
    <pivotField showAll="0"/>
    <pivotField axis="axisRow" showAll="0" measureFilter="1" sortType="ascending">
      <items count="23">
        <item x="6"/>
        <item x="7"/>
        <item x="14"/>
        <item x="1"/>
        <item x="12"/>
        <item x="20"/>
        <item x="19"/>
        <item x="2"/>
        <item x="18"/>
        <item x="13"/>
        <item x="5"/>
        <item x="15"/>
        <item m="1" x="21"/>
        <item x="4"/>
        <item x="9"/>
        <item x="17"/>
        <item x="11"/>
        <item x="16"/>
        <item x="10"/>
        <item x="3"/>
        <item x="8"/>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1"/>
        <item x="2"/>
        <item x="3"/>
        <item x="0"/>
        <item x="4"/>
        <item t="default"/>
      </items>
    </pivotField>
    <pivotField showAll="0"/>
    <pivotField showAll="0"/>
    <pivotField showAll="0"/>
    <pivotField showAll="0"/>
    <pivotField numFmtId="9" showAll="0"/>
    <pivotField dataField="1" numFmtId="1" showAll="0"/>
    <pivotField showAll="0"/>
    <pivotField showAll="0"/>
    <pivotField numFmtId="14" showAll="0"/>
    <pivotField showAll="0"/>
    <pivotField showAll="0"/>
  </pivotFields>
  <rowFields count="1">
    <field x="1"/>
  </rowFields>
  <rowItems count="11">
    <i>
      <x v="4"/>
    </i>
    <i>
      <x v="19"/>
    </i>
    <i>
      <x v="11"/>
    </i>
    <i>
      <x v="21"/>
    </i>
    <i>
      <x v="17"/>
    </i>
    <i>
      <x v="6"/>
    </i>
    <i>
      <x v="20"/>
    </i>
    <i>
      <x v="13"/>
    </i>
    <i>
      <x v="1"/>
    </i>
    <i>
      <x v="15"/>
    </i>
    <i t="grand">
      <x/>
    </i>
  </rowItems>
  <colItems count="1">
    <i/>
  </colItems>
  <dataFields count="1">
    <dataField name="Total Revenue" fld="10" baseField="1" baseItem="1" numFmtId="164"/>
  </dataFields>
  <formats count="2">
    <format dxfId="21">
      <pivotArea outline="0" collapsedLevelsAreSubtotals="1" fieldPosition="0"/>
    </format>
    <format dxfId="2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41851F-1114-469D-BD74-C01EDB500EB2}" name="Region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1:G17" firstHeaderRow="1" firstDataRow="1" firstDataCol="1"/>
  <pivotFields count="16">
    <pivotField showAll="0"/>
    <pivotField showAll="0"/>
    <pivotField showAll="0"/>
    <pivotField showAll="0"/>
    <pivotField axis="axisRow" showAll="0">
      <items count="6">
        <item x="1"/>
        <item x="2"/>
        <item x="3"/>
        <item x="0"/>
        <item x="4"/>
        <item t="default"/>
      </items>
    </pivotField>
    <pivotField showAll="0"/>
    <pivotField showAll="0"/>
    <pivotField showAll="0"/>
    <pivotField showAll="0"/>
    <pivotField numFmtId="9" showAll="0"/>
    <pivotField dataField="1" numFmtId="1" showAll="0"/>
    <pivotField showAll="0"/>
    <pivotField showAll="0"/>
    <pivotField numFmtId="14" showAll="0"/>
    <pivotField showAll="0"/>
    <pivotField showAll="0"/>
  </pivotFields>
  <rowFields count="1">
    <field x="4"/>
  </rowFields>
  <rowItems count="6">
    <i>
      <x/>
    </i>
    <i>
      <x v="1"/>
    </i>
    <i>
      <x v="2"/>
    </i>
    <i>
      <x v="3"/>
    </i>
    <i>
      <x v="4"/>
    </i>
    <i t="grand">
      <x/>
    </i>
  </rowItems>
  <colItems count="1">
    <i/>
  </colItems>
  <dataFields count="1">
    <dataField name="Total Revenue" fld="10" baseField="4" baseItem="0" numFmtId="164"/>
  </dataFields>
  <formats count="2">
    <format dxfId="23">
      <pivotArea outline="0" collapsedLevelsAreSubtotals="1" fieldPosition="0"/>
    </format>
    <format dxfId="2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D62F1B-D3AE-4D3B-9FE0-CEA1DBB1E068}" name="total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6">
    <pivotField dataField="1" showAll="0"/>
    <pivotField showAll="0"/>
    <pivotField showAll="0"/>
    <pivotField showAll="0"/>
    <pivotField showAll="0">
      <items count="6">
        <item x="1"/>
        <item x="2"/>
        <item x="3"/>
        <item x="0"/>
        <item x="4"/>
        <item t="default"/>
      </items>
    </pivotField>
    <pivotField showAll="0"/>
    <pivotField showAll="0"/>
    <pivotField showAll="0"/>
    <pivotField showAll="0"/>
    <pivotField numFmtId="9" showAll="0"/>
    <pivotField numFmtId="1" showAll="0"/>
    <pivotField showAll="0"/>
    <pivotField showAll="0"/>
    <pivotField numFmtId="14" showAll="0"/>
    <pivotField showAll="0"/>
    <pivotField showAll="0"/>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D30642-4F3E-4817-ABF4-5E6C8372ED12}" name="Total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6">
    <pivotField showAll="0"/>
    <pivotField showAll="0"/>
    <pivotField showAll="0"/>
    <pivotField showAll="0"/>
    <pivotField showAll="0">
      <items count="6">
        <item x="1"/>
        <item x="2"/>
        <item x="3"/>
        <item x="0"/>
        <item x="4"/>
        <item t="default"/>
      </items>
    </pivotField>
    <pivotField showAll="0"/>
    <pivotField dataField="1" showAll="0"/>
    <pivotField showAll="0"/>
    <pivotField showAll="0"/>
    <pivotField numFmtId="9" showAll="0"/>
    <pivotField numFmtId="1" showAll="0"/>
    <pivotField showAll="0"/>
    <pivotField showAll="0"/>
    <pivotField numFmtId="14" showAll="0"/>
    <pivotField showAll="0"/>
    <pivotField showAll="0"/>
  </pivotFields>
  <rowItems count="1">
    <i/>
  </rowItems>
  <colItems count="1">
    <i/>
  </colItems>
  <dataFields count="1">
    <dataField name="Total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E9EFC3-92AE-4897-88D6-B8517B36536C}" name="Order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T12:U17" firstHeaderRow="1" firstDataRow="1" firstDataCol="1"/>
  <pivotFields count="16">
    <pivotField dataField="1" showAll="0"/>
    <pivotField showAll="0"/>
    <pivotField showAll="0"/>
    <pivotField showAll="0"/>
    <pivotField showAll="0">
      <items count="6">
        <item x="1"/>
        <item x="2"/>
        <item x="3"/>
        <item x="0"/>
        <item x="4"/>
        <item t="default"/>
      </items>
    </pivotField>
    <pivotField showAll="0"/>
    <pivotField showAll="0"/>
    <pivotField showAll="0"/>
    <pivotField showAll="0"/>
    <pivotField numFmtId="9" showAll="0"/>
    <pivotField numFmtId="1" showAll="0"/>
    <pivotField showAll="0"/>
    <pivotField axis="axisRow" showAll="0">
      <items count="5">
        <item x="0"/>
        <item x="3"/>
        <item x="2"/>
        <item x="1"/>
        <item t="default"/>
      </items>
    </pivotField>
    <pivotField numFmtId="14" showAll="0"/>
    <pivotField showAll="0"/>
    <pivotField showAll="0"/>
  </pivotFields>
  <rowFields count="1">
    <field x="12"/>
  </rowFields>
  <rowItems count="5">
    <i>
      <x/>
    </i>
    <i>
      <x v="1"/>
    </i>
    <i>
      <x v="2"/>
    </i>
    <i>
      <x v="3"/>
    </i>
    <i t="grand">
      <x/>
    </i>
  </rowItems>
  <colItems count="1">
    <i/>
  </colItems>
  <dataFields count="1">
    <dataField name="Count of Order I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3"/>
          </reference>
        </references>
      </pivotArea>
    </chartFormat>
    <chartFormat chart="0" format="3">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2" count="1" selected="0">
            <x v="0"/>
          </reference>
        </references>
      </pivotArea>
    </chartFormat>
    <chartFormat chart="2" format="11">
      <pivotArea type="data" outline="0" fieldPosition="0">
        <references count="2">
          <reference field="4294967294" count="1" selected="0">
            <x v="0"/>
          </reference>
          <reference field="12" count="1" selected="0">
            <x v="1"/>
          </reference>
        </references>
      </pivotArea>
    </chartFormat>
    <chartFormat chart="2" format="12">
      <pivotArea type="data" outline="0" fieldPosition="0">
        <references count="2">
          <reference field="4294967294" count="1" selected="0">
            <x v="0"/>
          </reference>
          <reference field="12" count="1" selected="0">
            <x v="2"/>
          </reference>
        </references>
      </pivotArea>
    </chartFormat>
    <chartFormat chart="2" format="13">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749B9E-519B-4C27-9F41-08C7B2BF7A96}" name="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showAll="0">
      <items count="6">
        <item x="1"/>
        <item x="2"/>
        <item x="3"/>
        <item x="0"/>
        <item x="4"/>
        <item t="default"/>
      </items>
    </pivotField>
    <pivotField showAll="0"/>
    <pivotField showAll="0"/>
    <pivotField showAll="0"/>
    <pivotField showAll="0"/>
    <pivotField numFmtId="9" showAll="0"/>
    <pivotField dataField="1" numFmtId="1" showAll="0"/>
    <pivotField showAll="0"/>
    <pivotField showAll="0"/>
    <pivotField numFmtId="14" showAll="0"/>
    <pivotField showAll="0"/>
    <pivotField showAll="0"/>
  </pivotFields>
  <rowItems count="1">
    <i/>
  </rowItems>
  <colItems count="1">
    <i/>
  </colItems>
  <dataFields count="1">
    <dataField name="Total Revenue" fld="10" baseField="0" baseItem="0" numFmtId="164"/>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987C52-D490-4F45-BEBC-EAEC0FF2F07C}" name="AOV"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6">
    <pivotField showAll="0"/>
    <pivotField showAll="0"/>
    <pivotField showAll="0"/>
    <pivotField showAll="0"/>
    <pivotField showAll="0">
      <items count="6">
        <item x="1"/>
        <item x="2"/>
        <item x="3"/>
        <item x="0"/>
        <item x="4"/>
        <item t="default"/>
      </items>
    </pivotField>
    <pivotField showAll="0"/>
    <pivotField showAll="0"/>
    <pivotField showAll="0"/>
    <pivotField showAll="0"/>
    <pivotField numFmtId="9" showAll="0"/>
    <pivotField dataField="1" numFmtId="1" showAll="0"/>
    <pivotField showAll="0"/>
    <pivotField showAll="0"/>
    <pivotField numFmtId="14" showAll="0"/>
    <pivotField showAll="0"/>
    <pivotField showAll="0"/>
  </pivotFields>
  <rowItems count="1">
    <i/>
  </rowItems>
  <colItems count="1">
    <i/>
  </colItems>
  <dataFields count="1">
    <dataField name="Average order value" fld="10" subtotal="average" baseField="0" baseItem="0" numFmtId="164"/>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5EAAF0-B02D-42C5-9E69-EC73EB1B7DE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6:Z23" firstHeaderRow="1" firstDataRow="1" firstDataCol="0"/>
  <pivotFields count="16">
    <pivotField showAll="0"/>
    <pivotField showAll="0"/>
    <pivotField showAll="0"/>
    <pivotField showAll="0"/>
    <pivotField showAll="0">
      <items count="6">
        <item x="1"/>
        <item x="2"/>
        <item x="3"/>
        <item x="0"/>
        <item x="4"/>
        <item t="default"/>
      </items>
    </pivotField>
    <pivotField showAll="0"/>
    <pivotField showAll="0"/>
    <pivotField showAll="0"/>
    <pivotField showAll="0"/>
    <pivotField numFmtId="9" showAll="0"/>
    <pivotField numFmtId="1" showAll="0"/>
    <pivotField showAll="0"/>
    <pivotField showAll="0"/>
    <pivotField numFmtId="14"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31858A-237C-42CB-9F86-C6CEC357371B}" name="Product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1:C22" firstHeaderRow="1" firstDataRow="1" firstDataCol="1"/>
  <pivotFields count="16">
    <pivotField showAll="0"/>
    <pivotField showAll="0"/>
    <pivotField axis="axisRow" showAll="0">
      <items count="11">
        <item x="6"/>
        <item x="3"/>
        <item x="4"/>
        <item x="7"/>
        <item x="5"/>
        <item x="8"/>
        <item x="9"/>
        <item x="1"/>
        <item x="0"/>
        <item x="2"/>
        <item t="default"/>
      </items>
    </pivotField>
    <pivotField showAll="0"/>
    <pivotField showAll="0">
      <items count="6">
        <item x="1"/>
        <item x="2"/>
        <item x="3"/>
        <item x="0"/>
        <item x="4"/>
        <item t="default"/>
      </items>
    </pivotField>
    <pivotField showAll="0"/>
    <pivotField showAll="0"/>
    <pivotField showAll="0"/>
    <pivotField showAll="0"/>
    <pivotField numFmtId="9" showAll="0"/>
    <pivotField dataField="1" numFmtId="1" showAll="0"/>
    <pivotField showAll="0"/>
    <pivotField showAll="0"/>
    <pivotField numFmtId="14"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Total Revenue" fld="10" baseField="2" baseItem="0" numFmtId="164"/>
  </dataFields>
  <formats count="2">
    <format dxfId="27">
      <pivotArea outline="0" collapsedLevelsAreSubtotals="1" fieldPosition="0"/>
    </format>
    <format dxfId="2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8AEB89-529C-4DA0-82E0-AE3A42D8024D}" name="Monthly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12:O25" firstHeaderRow="1" firstDataRow="1" firstDataCol="1"/>
  <pivotFields count="16">
    <pivotField showAll="0"/>
    <pivotField showAll="0"/>
    <pivotField showAll="0"/>
    <pivotField showAll="0"/>
    <pivotField showAll="0"/>
    <pivotField showAll="0"/>
    <pivotField showAll="0"/>
    <pivotField showAll="0"/>
    <pivotField showAll="0"/>
    <pivotField numFmtId="9" showAll="0"/>
    <pivotField dataField="1" numFmtId="1" showAll="0"/>
    <pivotField showAll="0"/>
    <pivotField showAll="0"/>
    <pivotField numFmtId="14" showAll="0"/>
    <pivotField axis="axisRow" showAll="0">
      <items count="13">
        <item x="11"/>
        <item x="9"/>
        <item x="2"/>
        <item x="1"/>
        <item x="5"/>
        <item x="10"/>
        <item x="6"/>
        <item x="0"/>
        <item x="8"/>
        <item x="3"/>
        <item x="7"/>
        <item x="4"/>
        <item t="default"/>
      </items>
    </pivotField>
    <pivotField showAll="0"/>
  </pivotFields>
  <rowFields count="1">
    <field x="14"/>
  </rowFields>
  <rowItems count="13">
    <i>
      <x/>
    </i>
    <i>
      <x v="1"/>
    </i>
    <i>
      <x v="2"/>
    </i>
    <i>
      <x v="3"/>
    </i>
    <i>
      <x v="4"/>
    </i>
    <i>
      <x v="5"/>
    </i>
    <i>
      <x v="6"/>
    </i>
    <i>
      <x v="7"/>
    </i>
    <i>
      <x v="8"/>
    </i>
    <i>
      <x v="9"/>
    </i>
    <i>
      <x v="10"/>
    </i>
    <i>
      <x v="11"/>
    </i>
    <i t="grand">
      <x/>
    </i>
  </rowItems>
  <colItems count="1">
    <i/>
  </colItems>
  <dataFields count="1">
    <dataField name="Total Revenue" fld="10" baseField="14" baseItem="0" numFmtId="164"/>
  </dataFields>
  <formats count="2">
    <format dxfId="29">
      <pivotArea outline="0" collapsedLevelsAreSubtotals="1" fieldPosition="0"/>
    </format>
    <format dxfId="28">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77F717-6816-47C0-95BE-D094DDD80F7B}" sourceName="Region">
  <pivotTables>
    <pivotTable tabId="2" name="Order status"/>
    <pivotTable tabId="2" name="AOV"/>
    <pivotTable tabId="2" name="Customer revenue"/>
    <pivotTable tabId="2" name="PivotTable10"/>
    <pivotTable tabId="2" name="Product revenue"/>
    <pivotTable tabId="2" name="Region revenue"/>
    <pivotTable tabId="2" name="Revenue"/>
    <pivotTable tabId="2" name="total orders"/>
    <pivotTable tabId="2" name="Total quantity"/>
  </pivotTables>
  <data>
    <tabular pivotCacheId="1956241872">
      <items count="5">
        <i x="1" s="1"/>
        <i x="2"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DACD154-A323-4032-AD58-3EA13C22DC39}" cache="Slicer_Region" caption="Region" columnCoun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1D59EA-96AA-49CF-8B06-9A1A41524441}" name="Table1" displayName="Table1" ref="A1:P613" totalsRowShown="0" headerRowDxfId="19" headerRowBorderDxfId="18" tableBorderDxfId="17" totalsRowBorderDxfId="16">
  <autoFilter ref="A1:P613" xr:uid="{00000000-0009-0000-0000-000000000000}"/>
  <tableColumns count="16">
    <tableColumn id="1" xr3:uid="{BE8AB7E0-39AA-425F-B97F-FC6F6F531D2A}" name="Order ID" dataDxfId="15"/>
    <tableColumn id="2" xr3:uid="{D9055BEE-330E-4D82-B4F9-F7DF99E74A00}" name="Customer Name" dataDxfId="14"/>
    <tableColumn id="3" xr3:uid="{74CB4FE0-DD8E-4EE1-A6C8-641EFEDC7932}" name="Product" dataDxfId="13"/>
    <tableColumn id="4" xr3:uid="{E8B42F60-FD00-4766-921C-17E2EF19BEEB}" name="Category" dataDxfId="12"/>
    <tableColumn id="5" xr3:uid="{2B1393CD-4124-4C7E-8D9D-A6F0243142D6}" name="Region" dataDxfId="11"/>
    <tableColumn id="6" xr3:uid="{2AE27F9C-E8D4-45C3-8440-0F2546F207AA}" name="City" dataDxfId="10"/>
    <tableColumn id="7" xr3:uid="{40C84ADA-0C63-4401-A198-70D0644E0534}" name="Quantity" dataDxfId="9"/>
    <tableColumn id="8" xr3:uid="{497C94A8-2889-401A-8D4F-2A3C93337860}" name="Unit Price" dataDxfId="8">
      <calculatedColumnFormula>I2/G2</calculatedColumnFormula>
    </tableColumn>
    <tableColumn id="9" xr3:uid="{028149CB-79E5-4262-A64F-D9E00A13FC50}" name="Total Sales" dataDxfId="7"/>
    <tableColumn id="10" xr3:uid="{D53918FE-B17E-4ECA-8B31-81955B2D7D81}" name="Discount" dataDxfId="6" dataCellStyle="Percent"/>
    <tableColumn id="11" xr3:uid="{851F2F97-230E-422C-94E7-395FAAAD33D4}" name="Net Sales" dataDxfId="5"/>
    <tableColumn id="12" xr3:uid="{8821C03B-902F-48CC-B9CD-8AF4221893CD}" name="Payment Method" dataDxfId="4"/>
    <tableColumn id="13" xr3:uid="{1F915E90-05E0-4034-AE8E-BBF2510D27D1}" name="Order Status" dataDxfId="3"/>
    <tableColumn id="14" xr3:uid="{E7F8934D-D21F-4511-ABC4-2C9CAA970FA0}" name="Order Date" dataDxfId="2"/>
    <tableColumn id="15" xr3:uid="{3AB8A6DC-169E-462A-BF04-7D65466A5412}" name="Month" dataDxfId="1">
      <calculatedColumnFormula>TEXT(N2,"mmm")</calculatedColumnFormula>
    </tableColumn>
    <tableColumn id="16" xr3:uid="{45FCC737-382E-4B47-908F-D91D71D84864}" name="Sales Rep"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16250-0127-455E-9771-61D0799DB197}">
  <dimension ref="A3:Z25"/>
  <sheetViews>
    <sheetView zoomScale="89" workbookViewId="0">
      <selection activeCell="A4" sqref="A4"/>
    </sheetView>
  </sheetViews>
  <sheetFormatPr defaultRowHeight="15" x14ac:dyDescent="0.25"/>
  <cols>
    <col min="1" max="1" width="14.7109375" bestFit="1" customWidth="1"/>
    <col min="2" max="2" width="13.140625" bestFit="1" customWidth="1"/>
    <col min="3" max="3" width="15.28515625" bestFit="1" customWidth="1"/>
    <col min="4" max="4" width="13.7109375" bestFit="1" customWidth="1"/>
    <col min="6" max="6" width="13.140625" bestFit="1" customWidth="1"/>
    <col min="7" max="7" width="15.28515625" bestFit="1" customWidth="1"/>
    <col min="8" max="8" width="11.85546875" bestFit="1" customWidth="1"/>
    <col min="10" max="10" width="14.5703125" bestFit="1" customWidth="1"/>
    <col min="11" max="11" width="15.28515625" bestFit="1" customWidth="1"/>
    <col min="14" max="14" width="13.140625" bestFit="1" customWidth="1"/>
    <col min="15" max="15" width="16.28515625" bestFit="1" customWidth="1"/>
    <col min="16" max="16" width="28.7109375" bestFit="1" customWidth="1"/>
    <col min="17" max="17" width="10" bestFit="1" customWidth="1"/>
    <col min="20" max="20" width="13.140625" bestFit="1" customWidth="1"/>
    <col min="21" max="21" width="16.5703125" bestFit="1" customWidth="1"/>
  </cols>
  <sheetData>
    <row r="3" spans="1:26" x14ac:dyDescent="0.25">
      <c r="A3" t="s">
        <v>697</v>
      </c>
      <c r="D3" t="s">
        <v>698</v>
      </c>
      <c r="H3" t="s">
        <v>699</v>
      </c>
      <c r="K3" t="s">
        <v>700</v>
      </c>
    </row>
    <row r="4" spans="1:26" x14ac:dyDescent="0.25">
      <c r="A4" s="39">
        <v>750860235.00000012</v>
      </c>
      <c r="D4">
        <v>6350</v>
      </c>
      <c r="H4">
        <v>612</v>
      </c>
      <c r="K4" s="39">
        <v>1226895.8088235296</v>
      </c>
    </row>
    <row r="6" spans="1:26" x14ac:dyDescent="0.25">
      <c r="X6" s="30"/>
      <c r="Y6" s="31"/>
      <c r="Z6" s="32"/>
    </row>
    <row r="7" spans="1:26" x14ac:dyDescent="0.25">
      <c r="X7" s="33"/>
      <c r="Y7" s="34"/>
      <c r="Z7" s="35"/>
    </row>
    <row r="8" spans="1:26" x14ac:dyDescent="0.25">
      <c r="X8" s="33"/>
      <c r="Y8" s="34"/>
      <c r="Z8" s="35"/>
    </row>
    <row r="9" spans="1:26" x14ac:dyDescent="0.25">
      <c r="X9" s="33"/>
      <c r="Y9" s="34"/>
      <c r="Z9" s="35"/>
    </row>
    <row r="10" spans="1:26" x14ac:dyDescent="0.25">
      <c r="X10" s="33"/>
      <c r="Y10" s="34"/>
      <c r="Z10" s="35"/>
    </row>
    <row r="11" spans="1:26" x14ac:dyDescent="0.25">
      <c r="B11" s="28" t="s">
        <v>683</v>
      </c>
      <c r="C11" s="39" t="s">
        <v>697</v>
      </c>
      <c r="F11" s="28" t="s">
        <v>683</v>
      </c>
      <c r="G11" s="39" t="s">
        <v>697</v>
      </c>
      <c r="X11" s="33"/>
      <c r="Y11" s="34"/>
      <c r="Z11" s="35"/>
    </row>
    <row r="12" spans="1:26" x14ac:dyDescent="0.25">
      <c r="B12" s="29" t="s">
        <v>58</v>
      </c>
      <c r="C12" s="39">
        <v>181270924.15000001</v>
      </c>
      <c r="F12" s="29" t="s">
        <v>24</v>
      </c>
      <c r="G12" s="39">
        <v>140136680.34999999</v>
      </c>
      <c r="J12" s="28" t="s">
        <v>683</v>
      </c>
      <c r="K12" s="39" t="s">
        <v>697</v>
      </c>
      <c r="N12" s="28" t="s">
        <v>683</v>
      </c>
      <c r="O12" s="39" t="s">
        <v>697</v>
      </c>
      <c r="T12" s="28" t="s">
        <v>683</v>
      </c>
      <c r="U12" t="s">
        <v>701</v>
      </c>
      <c r="X12" s="33"/>
      <c r="Y12" s="34"/>
      <c r="Z12" s="35"/>
    </row>
    <row r="13" spans="1:26" x14ac:dyDescent="0.25">
      <c r="B13" s="29" t="s">
        <v>47</v>
      </c>
      <c r="C13" s="39">
        <v>22617473.800000008</v>
      </c>
      <c r="F13" s="29" t="s">
        <v>30</v>
      </c>
      <c r="G13" s="39">
        <v>130128249.34999999</v>
      </c>
      <c r="J13" s="29" t="s">
        <v>90</v>
      </c>
      <c r="K13" s="39">
        <v>39098930.849999994</v>
      </c>
      <c r="N13" s="29" t="s">
        <v>685</v>
      </c>
      <c r="O13" s="39">
        <v>60272325.649999991</v>
      </c>
      <c r="T13" s="29" t="s">
        <v>20</v>
      </c>
      <c r="U13">
        <v>136</v>
      </c>
      <c r="X13" s="33"/>
      <c r="Y13" s="34"/>
      <c r="Z13" s="35"/>
    </row>
    <row r="14" spans="1:26" x14ac:dyDescent="0.25">
      <c r="B14" s="29" t="s">
        <v>51</v>
      </c>
      <c r="C14" s="39">
        <v>25929507.399999999</v>
      </c>
      <c r="F14" s="29" t="s">
        <v>35</v>
      </c>
      <c r="G14" s="39">
        <v>171957211.89999995</v>
      </c>
      <c r="J14" s="29" t="s">
        <v>34</v>
      </c>
      <c r="K14" s="39">
        <v>40004045.550000004</v>
      </c>
      <c r="N14" s="29" t="s">
        <v>686</v>
      </c>
      <c r="O14" s="39">
        <v>47038855.199999988</v>
      </c>
      <c r="T14" s="29" t="s">
        <v>64</v>
      </c>
      <c r="U14">
        <v>146</v>
      </c>
      <c r="X14" s="33"/>
      <c r="Y14" s="34"/>
      <c r="Z14" s="35"/>
    </row>
    <row r="15" spans="1:26" x14ac:dyDescent="0.25">
      <c r="B15" s="29" t="s">
        <v>63</v>
      </c>
      <c r="C15" s="39">
        <v>220380124.29999998</v>
      </c>
      <c r="F15" s="29" t="s">
        <v>17</v>
      </c>
      <c r="G15" s="39">
        <v>134679615.35000005</v>
      </c>
      <c r="J15" s="29" t="s">
        <v>101</v>
      </c>
      <c r="K15" s="39">
        <v>41306920.700000003</v>
      </c>
      <c r="N15" s="29" t="s">
        <v>687</v>
      </c>
      <c r="O15" s="39">
        <v>46820232.699999996</v>
      </c>
      <c r="T15" s="29" t="s">
        <v>38</v>
      </c>
      <c r="U15">
        <v>161</v>
      </c>
      <c r="X15" s="33"/>
      <c r="Y15" s="34"/>
      <c r="Z15" s="35"/>
    </row>
    <row r="16" spans="1:26" x14ac:dyDescent="0.25">
      <c r="B16" s="29" t="s">
        <v>54</v>
      </c>
      <c r="C16" s="39">
        <v>172561789.89999995</v>
      </c>
      <c r="F16" s="29" t="s">
        <v>43</v>
      </c>
      <c r="G16" s="39">
        <v>173958478.04999998</v>
      </c>
      <c r="J16" s="29" t="s">
        <v>702</v>
      </c>
      <c r="K16" s="39">
        <v>42027557.450000003</v>
      </c>
      <c r="N16" s="29" t="s">
        <v>688</v>
      </c>
      <c r="O16" s="39">
        <v>78567310.449999988</v>
      </c>
      <c r="T16" s="29" t="s">
        <v>26</v>
      </c>
      <c r="U16">
        <v>169</v>
      </c>
      <c r="X16" s="33"/>
      <c r="Y16" s="34"/>
      <c r="Z16" s="35"/>
    </row>
    <row r="17" spans="2:26" x14ac:dyDescent="0.25">
      <c r="B17" s="29" t="s">
        <v>70</v>
      </c>
      <c r="C17" s="39">
        <v>22122990.699999992</v>
      </c>
      <c r="F17" s="29" t="s">
        <v>684</v>
      </c>
      <c r="G17" s="39">
        <v>750860234.99999988</v>
      </c>
      <c r="J17" s="29" t="s">
        <v>103</v>
      </c>
      <c r="K17" s="39">
        <v>45372679.350000001</v>
      </c>
      <c r="N17" s="29" t="s">
        <v>689</v>
      </c>
      <c r="O17" s="39">
        <v>54679914.149999999</v>
      </c>
      <c r="T17" s="29" t="s">
        <v>684</v>
      </c>
      <c r="U17">
        <v>612</v>
      </c>
      <c r="X17" s="33"/>
      <c r="Y17" s="34"/>
      <c r="Z17" s="35"/>
    </row>
    <row r="18" spans="2:26" x14ac:dyDescent="0.25">
      <c r="B18" s="29" t="s">
        <v>81</v>
      </c>
      <c r="C18" s="39">
        <v>28269976.75</v>
      </c>
      <c r="J18" s="29" t="s">
        <v>119</v>
      </c>
      <c r="K18" s="39">
        <v>46692428.349999987</v>
      </c>
      <c r="N18" s="29" t="s">
        <v>690</v>
      </c>
      <c r="O18" s="39">
        <v>62955549.600000001</v>
      </c>
      <c r="X18" s="33"/>
      <c r="Y18" s="34"/>
      <c r="Z18" s="35"/>
    </row>
    <row r="19" spans="2:26" x14ac:dyDescent="0.25">
      <c r="B19" s="29" t="s">
        <v>28</v>
      </c>
      <c r="C19" s="39">
        <v>25899163.950000007</v>
      </c>
      <c r="J19" s="29" t="s">
        <v>76</v>
      </c>
      <c r="K19" s="39">
        <v>49117198.399999999</v>
      </c>
      <c r="N19" s="29" t="s">
        <v>691</v>
      </c>
      <c r="O19" s="39">
        <v>83683487.200000003</v>
      </c>
      <c r="X19" s="33"/>
      <c r="Y19" s="34"/>
      <c r="Z19" s="35"/>
    </row>
    <row r="20" spans="2:26" x14ac:dyDescent="0.25">
      <c r="B20" s="29" t="s">
        <v>15</v>
      </c>
      <c r="C20" s="39">
        <v>30756496.049999993</v>
      </c>
      <c r="J20" s="29" t="s">
        <v>53</v>
      </c>
      <c r="K20" s="39">
        <v>49301993.799999997</v>
      </c>
      <c r="N20" s="29" t="s">
        <v>692</v>
      </c>
      <c r="O20" s="39">
        <v>68015405.799999997</v>
      </c>
      <c r="X20" s="33"/>
      <c r="Y20" s="34"/>
      <c r="Z20" s="35"/>
    </row>
    <row r="21" spans="2:26" x14ac:dyDescent="0.25">
      <c r="B21" s="29" t="s">
        <v>42</v>
      </c>
      <c r="C21" s="39">
        <v>21051788.000000004</v>
      </c>
      <c r="J21" s="29" t="s">
        <v>67</v>
      </c>
      <c r="K21" s="39">
        <v>51710267.500000007</v>
      </c>
      <c r="N21" s="29" t="s">
        <v>693</v>
      </c>
      <c r="O21" s="39">
        <v>65250886.54999999</v>
      </c>
      <c r="X21" s="33"/>
      <c r="Y21" s="34"/>
      <c r="Z21" s="35"/>
    </row>
    <row r="22" spans="2:26" x14ac:dyDescent="0.25">
      <c r="B22" s="29" t="s">
        <v>684</v>
      </c>
      <c r="C22" s="39">
        <v>750860235</v>
      </c>
      <c r="J22" s="29" t="s">
        <v>107</v>
      </c>
      <c r="K22" s="39">
        <v>52321281.04999999</v>
      </c>
      <c r="N22" s="29" t="s">
        <v>694</v>
      </c>
      <c r="O22" s="39">
        <v>58017553.100000009</v>
      </c>
      <c r="X22" s="33"/>
      <c r="Y22" s="34"/>
      <c r="Z22" s="35"/>
    </row>
    <row r="23" spans="2:26" x14ac:dyDescent="0.25">
      <c r="J23" s="29" t="s">
        <v>684</v>
      </c>
      <c r="K23" s="39">
        <v>456953303</v>
      </c>
      <c r="N23" s="29" t="s">
        <v>695</v>
      </c>
      <c r="O23" s="39">
        <v>82935619.549999997</v>
      </c>
      <c r="X23" s="36"/>
      <c r="Y23" s="37"/>
      <c r="Z23" s="38"/>
    </row>
    <row r="24" spans="2:26" x14ac:dyDescent="0.25">
      <c r="N24" s="29" t="s">
        <v>696</v>
      </c>
      <c r="O24" s="39">
        <v>42623095.050000004</v>
      </c>
    </row>
    <row r="25" spans="2:26" x14ac:dyDescent="0.25">
      <c r="N25" s="29" t="s">
        <v>684</v>
      </c>
      <c r="O25" s="39">
        <v>750860234.99999988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17"/>
  <sheetViews>
    <sheetView zoomScale="79" workbookViewId="0">
      <pane ySplit="1" topLeftCell="A2" activePane="bottomLeft" state="frozen"/>
      <selection pane="bottomLeft" activeCell="D6" sqref="A2:P613"/>
    </sheetView>
  </sheetViews>
  <sheetFormatPr defaultRowHeight="15" x14ac:dyDescent="0.25"/>
  <cols>
    <col min="1" max="1" width="12" customWidth="1"/>
    <col min="2" max="2" width="22" customWidth="1"/>
    <col min="3" max="4" width="14" customWidth="1"/>
    <col min="5" max="5" width="10.42578125" customWidth="1"/>
    <col min="6" max="6" width="14" customWidth="1"/>
    <col min="7" max="8" width="18.42578125" customWidth="1"/>
    <col min="9" max="9" width="14.42578125" customWidth="1"/>
    <col min="10" max="10" width="12.140625" customWidth="1"/>
    <col min="11" max="11" width="12.85546875" style="9" customWidth="1"/>
    <col min="12" max="12" width="20" customWidth="1"/>
    <col min="13" max="13" width="16.140625" customWidth="1"/>
    <col min="14" max="14" width="14.42578125" style="5" customWidth="1"/>
    <col min="15" max="15" width="14" style="5" customWidth="1"/>
    <col min="16" max="16" width="13.42578125" customWidth="1"/>
  </cols>
  <sheetData>
    <row r="1" spans="1:20" ht="21.95" customHeight="1" x14ac:dyDescent="0.25">
      <c r="A1" s="14" t="s">
        <v>0</v>
      </c>
      <c r="B1" s="15" t="s">
        <v>1</v>
      </c>
      <c r="C1" s="15" t="s">
        <v>2</v>
      </c>
      <c r="D1" s="15" t="s">
        <v>3</v>
      </c>
      <c r="E1" s="16" t="s">
        <v>4</v>
      </c>
      <c r="F1" s="15" t="s">
        <v>5</v>
      </c>
      <c r="G1" s="15" t="s">
        <v>6</v>
      </c>
      <c r="H1" s="15" t="s">
        <v>7</v>
      </c>
      <c r="I1" s="15" t="s">
        <v>8</v>
      </c>
      <c r="J1" s="15" t="s">
        <v>681</v>
      </c>
      <c r="K1" s="17" t="s">
        <v>9</v>
      </c>
      <c r="L1" s="15" t="s">
        <v>10</v>
      </c>
      <c r="M1" s="15" t="s">
        <v>11</v>
      </c>
      <c r="N1" s="18" t="s">
        <v>12</v>
      </c>
      <c r="O1" s="18" t="s">
        <v>682</v>
      </c>
      <c r="P1" s="19" t="s">
        <v>13</v>
      </c>
    </row>
    <row r="2" spans="1:20" x14ac:dyDescent="0.25">
      <c r="A2" s="10" t="s">
        <v>14</v>
      </c>
      <c r="B2" s="1" t="s">
        <v>702</v>
      </c>
      <c r="C2" s="1" t="s">
        <v>15</v>
      </c>
      <c r="D2" s="1" t="s">
        <v>16</v>
      </c>
      <c r="E2" s="1" t="s">
        <v>17</v>
      </c>
      <c r="F2" s="1" t="s">
        <v>18</v>
      </c>
      <c r="G2" s="1">
        <v>14</v>
      </c>
      <c r="H2" s="1">
        <f t="shared" ref="H2:H65" si="0">I2/G2</f>
        <v>36504</v>
      </c>
      <c r="I2" s="1">
        <v>511056</v>
      </c>
      <c r="J2" s="6">
        <v>0.2</v>
      </c>
      <c r="K2" s="7">
        <v>408844.79999999999</v>
      </c>
      <c r="L2" s="1" t="s">
        <v>19</v>
      </c>
      <c r="M2" s="1" t="s">
        <v>20</v>
      </c>
      <c r="N2" s="3">
        <v>45156</v>
      </c>
      <c r="O2" s="3" t="str">
        <f>TEXT(N2,"mmm")</f>
        <v>Aug</v>
      </c>
      <c r="P2" s="12" t="s">
        <v>21</v>
      </c>
      <c r="T2">
        <f>SUM(G1:G613)</f>
        <v>6350</v>
      </c>
    </row>
    <row r="3" spans="1:20" x14ac:dyDescent="0.25">
      <c r="A3" s="11" t="s">
        <v>22</v>
      </c>
      <c r="B3" s="1" t="s">
        <v>23</v>
      </c>
      <c r="C3" s="2" t="s">
        <v>15</v>
      </c>
      <c r="D3" s="1" t="s">
        <v>16</v>
      </c>
      <c r="E3" s="1" t="s">
        <v>24</v>
      </c>
      <c r="F3" s="2" t="s">
        <v>25</v>
      </c>
      <c r="G3" s="1">
        <v>5</v>
      </c>
      <c r="H3" s="1">
        <f t="shared" si="0"/>
        <v>50215</v>
      </c>
      <c r="I3" s="2">
        <v>251075</v>
      </c>
      <c r="J3" s="6">
        <v>0</v>
      </c>
      <c r="K3" s="8">
        <v>251075</v>
      </c>
      <c r="L3" s="2" t="s">
        <v>19</v>
      </c>
      <c r="M3" s="2" t="s">
        <v>26</v>
      </c>
      <c r="N3" s="4">
        <v>45018</v>
      </c>
      <c r="O3" s="3" t="str">
        <f t="shared" ref="O3:O66" si="1">TEXT(N3,"mmm")</f>
        <v>Apr</v>
      </c>
      <c r="P3" s="13" t="s">
        <v>21</v>
      </c>
    </row>
    <row r="4" spans="1:20" x14ac:dyDescent="0.25">
      <c r="A4" s="10" t="s">
        <v>27</v>
      </c>
      <c r="B4" s="1" t="s">
        <v>41</v>
      </c>
      <c r="C4" s="1" t="s">
        <v>28</v>
      </c>
      <c r="D4" s="1" t="s">
        <v>29</v>
      </c>
      <c r="E4" s="1" t="s">
        <v>30</v>
      </c>
      <c r="F4" s="1" t="s">
        <v>31</v>
      </c>
      <c r="G4" s="1">
        <v>4</v>
      </c>
      <c r="H4" s="1">
        <f t="shared" si="0"/>
        <v>68115</v>
      </c>
      <c r="I4" s="1">
        <v>272460</v>
      </c>
      <c r="J4" s="6">
        <v>0</v>
      </c>
      <c r="K4" s="7">
        <v>272460</v>
      </c>
      <c r="L4" s="1" t="s">
        <v>19</v>
      </c>
      <c r="M4" s="1" t="s">
        <v>26</v>
      </c>
      <c r="N4" s="3">
        <v>44994</v>
      </c>
      <c r="O4" s="3" t="str">
        <f t="shared" si="1"/>
        <v>Mar</v>
      </c>
      <c r="P4" s="12" t="s">
        <v>32</v>
      </c>
    </row>
    <row r="5" spans="1:20" x14ac:dyDescent="0.25">
      <c r="A5" s="11" t="s">
        <v>33</v>
      </c>
      <c r="B5" s="1" t="s">
        <v>34</v>
      </c>
      <c r="C5" s="2" t="s">
        <v>15</v>
      </c>
      <c r="D5" s="1" t="s">
        <v>16</v>
      </c>
      <c r="E5" s="1" t="s">
        <v>35</v>
      </c>
      <c r="F5" s="2" t="s">
        <v>36</v>
      </c>
      <c r="G5" s="1">
        <v>3</v>
      </c>
      <c r="H5" s="1">
        <f t="shared" si="0"/>
        <v>29662</v>
      </c>
      <c r="I5" s="2">
        <v>88986</v>
      </c>
      <c r="J5" s="6">
        <v>0.19999999999999996</v>
      </c>
      <c r="K5" s="8">
        <v>71188.800000000003</v>
      </c>
      <c r="L5" s="2" t="s">
        <v>37</v>
      </c>
      <c r="M5" s="2" t="s">
        <v>38</v>
      </c>
      <c r="N5" s="4">
        <v>45205</v>
      </c>
      <c r="O5" s="3" t="str">
        <f t="shared" si="1"/>
        <v>Oct</v>
      </c>
      <c r="P5" s="13" t="s">
        <v>39</v>
      </c>
    </row>
    <row r="6" spans="1:20" x14ac:dyDescent="0.25">
      <c r="A6" s="10" t="s">
        <v>40</v>
      </c>
      <c r="B6" s="1" t="s">
        <v>41</v>
      </c>
      <c r="C6" s="1" t="s">
        <v>42</v>
      </c>
      <c r="D6" s="1" t="s">
        <v>29</v>
      </c>
      <c r="E6" s="1" t="s">
        <v>43</v>
      </c>
      <c r="F6" s="1" t="s">
        <v>44</v>
      </c>
      <c r="G6" s="1">
        <v>14</v>
      </c>
      <c r="H6" s="1">
        <f t="shared" si="0"/>
        <v>22796</v>
      </c>
      <c r="I6" s="1">
        <v>319144</v>
      </c>
      <c r="J6" s="6">
        <v>0</v>
      </c>
      <c r="K6" s="7">
        <v>319144</v>
      </c>
      <c r="L6" s="1" t="s">
        <v>37</v>
      </c>
      <c r="M6" s="1" t="s">
        <v>26</v>
      </c>
      <c r="N6" s="3">
        <v>45280</v>
      </c>
      <c r="O6" s="3" t="str">
        <f t="shared" si="1"/>
        <v>Dec</v>
      </c>
      <c r="P6" s="12" t="s">
        <v>45</v>
      </c>
    </row>
    <row r="7" spans="1:20" x14ac:dyDescent="0.25">
      <c r="A7" s="11" t="s">
        <v>46</v>
      </c>
      <c r="B7" s="1" t="s">
        <v>34</v>
      </c>
      <c r="C7" s="2" t="s">
        <v>47</v>
      </c>
      <c r="D7" s="1" t="s">
        <v>16</v>
      </c>
      <c r="E7" s="1" t="s">
        <v>24</v>
      </c>
      <c r="F7" s="2" t="s">
        <v>48</v>
      </c>
      <c r="G7" s="1">
        <v>18</v>
      </c>
      <c r="H7" s="1">
        <f t="shared" si="0"/>
        <v>56853</v>
      </c>
      <c r="I7" s="2">
        <v>1023354</v>
      </c>
      <c r="J7" s="6">
        <v>0</v>
      </c>
      <c r="K7" s="8">
        <v>1023354</v>
      </c>
      <c r="L7" s="2" t="s">
        <v>49</v>
      </c>
      <c r="M7" s="2" t="s">
        <v>38</v>
      </c>
      <c r="N7" s="4">
        <v>45061</v>
      </c>
      <c r="O7" s="3" t="str">
        <f t="shared" si="1"/>
        <v>May</v>
      </c>
      <c r="P7" s="13" t="s">
        <v>45</v>
      </c>
    </row>
    <row r="8" spans="1:20" x14ac:dyDescent="0.25">
      <c r="A8" s="10" t="s">
        <v>50</v>
      </c>
      <c r="B8" s="1" t="s">
        <v>23</v>
      </c>
      <c r="C8" s="1" t="s">
        <v>51</v>
      </c>
      <c r="D8" s="1" t="s">
        <v>16</v>
      </c>
      <c r="E8" s="1" t="s">
        <v>35</v>
      </c>
      <c r="F8" s="1" t="s">
        <v>36</v>
      </c>
      <c r="G8" s="1">
        <v>9</v>
      </c>
      <c r="H8" s="1">
        <f t="shared" si="0"/>
        <v>59246</v>
      </c>
      <c r="I8" s="1">
        <v>533214</v>
      </c>
      <c r="J8" s="6">
        <v>0</v>
      </c>
      <c r="K8" s="7">
        <v>533214</v>
      </c>
      <c r="L8" s="1" t="s">
        <v>19</v>
      </c>
      <c r="M8" s="1" t="s">
        <v>26</v>
      </c>
      <c r="N8" s="3">
        <v>45112</v>
      </c>
      <c r="O8" s="3" t="str">
        <f t="shared" si="1"/>
        <v>Jul</v>
      </c>
      <c r="P8" s="12" t="s">
        <v>32</v>
      </c>
    </row>
    <row r="9" spans="1:20" x14ac:dyDescent="0.25">
      <c r="A9" s="11" t="s">
        <v>52</v>
      </c>
      <c r="B9" s="1" t="s">
        <v>53</v>
      </c>
      <c r="C9" s="2" t="s">
        <v>54</v>
      </c>
      <c r="D9" s="1" t="s">
        <v>29</v>
      </c>
      <c r="E9" s="1" t="s">
        <v>17</v>
      </c>
      <c r="F9" s="2" t="s">
        <v>18</v>
      </c>
      <c r="G9" s="1">
        <v>19</v>
      </c>
      <c r="H9" s="1">
        <f t="shared" si="0"/>
        <v>378529</v>
      </c>
      <c r="I9" s="2">
        <v>7192051</v>
      </c>
      <c r="J9" s="6">
        <v>0.15000000000000005</v>
      </c>
      <c r="K9" s="8">
        <v>6113243.3499999996</v>
      </c>
      <c r="L9" s="2" t="s">
        <v>19</v>
      </c>
      <c r="M9" s="2" t="s">
        <v>26</v>
      </c>
      <c r="N9" s="4">
        <v>45236</v>
      </c>
      <c r="O9" s="3" t="str">
        <f t="shared" si="1"/>
        <v>Nov</v>
      </c>
      <c r="P9" s="13" t="s">
        <v>55</v>
      </c>
    </row>
    <row r="10" spans="1:20" x14ac:dyDescent="0.25">
      <c r="A10" s="10" t="s">
        <v>56</v>
      </c>
      <c r="B10" s="1" t="s">
        <v>57</v>
      </c>
      <c r="C10" s="1" t="s">
        <v>58</v>
      </c>
      <c r="D10" s="1" t="s">
        <v>29</v>
      </c>
      <c r="E10" s="1" t="s">
        <v>30</v>
      </c>
      <c r="F10" s="1" t="s">
        <v>59</v>
      </c>
      <c r="G10" s="1">
        <v>1</v>
      </c>
      <c r="H10" s="1">
        <f t="shared" si="0"/>
        <v>452807</v>
      </c>
      <c r="I10" s="1">
        <v>452807</v>
      </c>
      <c r="J10" s="6">
        <v>0.10000000000000002</v>
      </c>
      <c r="K10" s="7">
        <v>407526.3</v>
      </c>
      <c r="L10" s="1" t="s">
        <v>60</v>
      </c>
      <c r="M10" s="1" t="s">
        <v>38</v>
      </c>
      <c r="N10" s="3">
        <v>45174</v>
      </c>
      <c r="O10" s="3" t="str">
        <f t="shared" si="1"/>
        <v>Sep</v>
      </c>
      <c r="P10" s="12" t="s">
        <v>32</v>
      </c>
    </row>
    <row r="11" spans="1:20" x14ac:dyDescent="0.25">
      <c r="A11" s="11" t="s">
        <v>61</v>
      </c>
      <c r="B11" s="1" t="s">
        <v>62</v>
      </c>
      <c r="C11" s="2" t="s">
        <v>63</v>
      </c>
      <c r="D11" s="1" t="s">
        <v>29</v>
      </c>
      <c r="E11" s="1" t="s">
        <v>30</v>
      </c>
      <c r="F11" s="2" t="s">
        <v>31</v>
      </c>
      <c r="G11" s="1">
        <v>7</v>
      </c>
      <c r="H11" s="1">
        <f t="shared" si="0"/>
        <v>228391</v>
      </c>
      <c r="I11" s="2">
        <v>1598737</v>
      </c>
      <c r="J11" s="6">
        <v>0.19999999999999996</v>
      </c>
      <c r="K11" s="8">
        <v>1278989.6000000001</v>
      </c>
      <c r="L11" s="2" t="s">
        <v>37</v>
      </c>
      <c r="M11" s="2" t="s">
        <v>64</v>
      </c>
      <c r="N11" s="4">
        <v>45054</v>
      </c>
      <c r="O11" s="3" t="str">
        <f t="shared" si="1"/>
        <v>May</v>
      </c>
      <c r="P11" s="13" t="s">
        <v>65</v>
      </c>
    </row>
    <row r="12" spans="1:20" x14ac:dyDescent="0.25">
      <c r="A12" s="10" t="s">
        <v>66</v>
      </c>
      <c r="B12" s="1" t="s">
        <v>67</v>
      </c>
      <c r="C12" s="1" t="s">
        <v>28</v>
      </c>
      <c r="D12" s="1" t="s">
        <v>29</v>
      </c>
      <c r="E12" s="1" t="s">
        <v>35</v>
      </c>
      <c r="F12" s="1" t="s">
        <v>68</v>
      </c>
      <c r="G12" s="1">
        <v>1</v>
      </c>
      <c r="H12" s="1">
        <f t="shared" si="0"/>
        <v>50032</v>
      </c>
      <c r="I12" s="1">
        <v>50032</v>
      </c>
      <c r="J12" s="6">
        <v>0</v>
      </c>
      <c r="K12" s="7">
        <v>50032</v>
      </c>
      <c r="L12" s="1" t="s">
        <v>60</v>
      </c>
      <c r="M12" s="1" t="s">
        <v>26</v>
      </c>
      <c r="N12" s="3">
        <v>45140</v>
      </c>
      <c r="O12" s="3" t="str">
        <f t="shared" si="1"/>
        <v>Aug</v>
      </c>
      <c r="P12" s="12" t="s">
        <v>45</v>
      </c>
    </row>
    <row r="13" spans="1:20" x14ac:dyDescent="0.25">
      <c r="A13" s="11" t="s">
        <v>69</v>
      </c>
      <c r="B13" s="1" t="s">
        <v>41</v>
      </c>
      <c r="C13" s="2" t="s">
        <v>70</v>
      </c>
      <c r="D13" s="1" t="s">
        <v>16</v>
      </c>
      <c r="E13" s="1" t="s">
        <v>24</v>
      </c>
      <c r="F13" s="2" t="s">
        <v>71</v>
      </c>
      <c r="G13" s="1">
        <v>1</v>
      </c>
      <c r="H13" s="1">
        <f t="shared" si="0"/>
        <v>19663</v>
      </c>
      <c r="I13" s="2">
        <v>19663</v>
      </c>
      <c r="J13" s="6">
        <v>0</v>
      </c>
      <c r="K13" s="8">
        <v>19663</v>
      </c>
      <c r="L13" s="2" t="s">
        <v>49</v>
      </c>
      <c r="M13" s="2" t="s">
        <v>20</v>
      </c>
      <c r="N13" s="4">
        <v>45217</v>
      </c>
      <c r="O13" s="3" t="str">
        <f t="shared" si="1"/>
        <v>Oct</v>
      </c>
      <c r="P13" s="13" t="s">
        <v>21</v>
      </c>
    </row>
    <row r="14" spans="1:20" x14ac:dyDescent="0.25">
      <c r="A14" s="10" t="s">
        <v>72</v>
      </c>
      <c r="B14" s="1" t="s">
        <v>702</v>
      </c>
      <c r="C14" s="1" t="s">
        <v>15</v>
      </c>
      <c r="D14" s="1" t="s">
        <v>16</v>
      </c>
      <c r="E14" s="1" t="s">
        <v>17</v>
      </c>
      <c r="F14" s="1" t="s">
        <v>73</v>
      </c>
      <c r="G14" s="1">
        <v>15</v>
      </c>
      <c r="H14" s="1">
        <f t="shared" si="0"/>
        <v>38586</v>
      </c>
      <c r="I14" s="1">
        <v>578790</v>
      </c>
      <c r="J14" s="6">
        <v>0.1</v>
      </c>
      <c r="K14" s="7">
        <v>520911</v>
      </c>
      <c r="L14" s="1" t="s">
        <v>49</v>
      </c>
      <c r="M14" s="1" t="s">
        <v>38</v>
      </c>
      <c r="N14" s="3">
        <v>45021</v>
      </c>
      <c r="O14" s="3" t="str">
        <f t="shared" si="1"/>
        <v>Apr</v>
      </c>
      <c r="P14" s="12" t="s">
        <v>74</v>
      </c>
    </row>
    <row r="15" spans="1:20" x14ac:dyDescent="0.25">
      <c r="A15" s="11" t="s">
        <v>75</v>
      </c>
      <c r="B15" s="1" t="s">
        <v>76</v>
      </c>
      <c r="C15" s="2" t="s">
        <v>70</v>
      </c>
      <c r="D15" s="1" t="s">
        <v>29</v>
      </c>
      <c r="E15" s="1" t="s">
        <v>35</v>
      </c>
      <c r="F15" s="2" t="s">
        <v>36</v>
      </c>
      <c r="G15" s="1">
        <v>4</v>
      </c>
      <c r="H15" s="1">
        <f t="shared" si="0"/>
        <v>63153</v>
      </c>
      <c r="I15" s="2">
        <v>252612</v>
      </c>
      <c r="J15" s="6">
        <v>5.0000000000000024E-2</v>
      </c>
      <c r="K15" s="8">
        <v>239981.4</v>
      </c>
      <c r="L15" s="2" t="s">
        <v>49</v>
      </c>
      <c r="M15" s="2" t="s">
        <v>20</v>
      </c>
      <c r="N15" s="4">
        <v>45200</v>
      </c>
      <c r="O15" s="3" t="str">
        <f t="shared" si="1"/>
        <v>Oct</v>
      </c>
      <c r="P15" s="13" t="s">
        <v>77</v>
      </c>
    </row>
    <row r="16" spans="1:20" x14ac:dyDescent="0.25">
      <c r="A16" s="10" t="s">
        <v>78</v>
      </c>
      <c r="B16" s="1" t="s">
        <v>23</v>
      </c>
      <c r="C16" s="1" t="s">
        <v>63</v>
      </c>
      <c r="D16" s="1" t="s">
        <v>29</v>
      </c>
      <c r="E16" s="1" t="s">
        <v>24</v>
      </c>
      <c r="F16" s="1" t="s">
        <v>71</v>
      </c>
      <c r="G16" s="1">
        <v>17</v>
      </c>
      <c r="H16" s="1">
        <f t="shared" si="0"/>
        <v>211612</v>
      </c>
      <c r="I16" s="1">
        <v>3597404</v>
      </c>
      <c r="J16" s="6">
        <v>0</v>
      </c>
      <c r="K16" s="7">
        <v>3597404</v>
      </c>
      <c r="L16" s="1" t="s">
        <v>60</v>
      </c>
      <c r="M16" s="1" t="s">
        <v>64</v>
      </c>
      <c r="N16" s="3">
        <v>45251</v>
      </c>
      <c r="O16" s="3" t="str">
        <f t="shared" si="1"/>
        <v>Nov</v>
      </c>
      <c r="P16" s="12" t="s">
        <v>45</v>
      </c>
    </row>
    <row r="17" spans="1:16" x14ac:dyDescent="0.25">
      <c r="A17" s="11" t="s">
        <v>79</v>
      </c>
      <c r="B17" s="1" t="s">
        <v>80</v>
      </c>
      <c r="C17" s="2" t="s">
        <v>81</v>
      </c>
      <c r="D17" s="1" t="s">
        <v>29</v>
      </c>
      <c r="E17" s="1" t="s">
        <v>17</v>
      </c>
      <c r="F17" s="2" t="s">
        <v>82</v>
      </c>
      <c r="G17" s="1">
        <v>19</v>
      </c>
      <c r="H17" s="1">
        <f t="shared" si="0"/>
        <v>7719</v>
      </c>
      <c r="I17" s="2">
        <v>146661</v>
      </c>
      <c r="J17" s="6">
        <v>0.10000000000000003</v>
      </c>
      <c r="K17" s="8">
        <v>131994.9</v>
      </c>
      <c r="L17" s="2" t="s">
        <v>60</v>
      </c>
      <c r="M17" s="2" t="s">
        <v>26</v>
      </c>
      <c r="N17" s="4">
        <v>45190</v>
      </c>
      <c r="O17" s="3" t="str">
        <f t="shared" si="1"/>
        <v>Sep</v>
      </c>
      <c r="P17" s="13" t="s">
        <v>83</v>
      </c>
    </row>
    <row r="18" spans="1:16" x14ac:dyDescent="0.25">
      <c r="A18" s="10" t="s">
        <v>84</v>
      </c>
      <c r="B18" s="1" t="s">
        <v>85</v>
      </c>
      <c r="C18" s="1" t="s">
        <v>54</v>
      </c>
      <c r="D18" s="1" t="s">
        <v>29</v>
      </c>
      <c r="E18" s="1" t="s">
        <v>35</v>
      </c>
      <c r="F18" s="1" t="s">
        <v>36</v>
      </c>
      <c r="G18" s="1">
        <v>6</v>
      </c>
      <c r="H18" s="1">
        <f t="shared" si="0"/>
        <v>371571</v>
      </c>
      <c r="I18" s="1">
        <v>2229426</v>
      </c>
      <c r="J18" s="6">
        <v>0.10000000000000005</v>
      </c>
      <c r="K18" s="7">
        <v>2006483.4</v>
      </c>
      <c r="L18" s="1" t="s">
        <v>60</v>
      </c>
      <c r="M18" s="1" t="s">
        <v>20</v>
      </c>
      <c r="N18" s="3">
        <v>44987</v>
      </c>
      <c r="O18" s="3" t="str">
        <f t="shared" si="1"/>
        <v>Mar</v>
      </c>
      <c r="P18" s="12" t="s">
        <v>45</v>
      </c>
    </row>
    <row r="19" spans="1:16" x14ac:dyDescent="0.25">
      <c r="A19" s="11" t="s">
        <v>86</v>
      </c>
      <c r="B19" s="1" t="s">
        <v>87</v>
      </c>
      <c r="C19" s="2" t="s">
        <v>42</v>
      </c>
      <c r="D19" s="1" t="s">
        <v>29</v>
      </c>
      <c r="E19" s="1" t="s">
        <v>17</v>
      </c>
      <c r="F19" s="2" t="s">
        <v>82</v>
      </c>
      <c r="G19" s="1">
        <v>9</v>
      </c>
      <c r="H19" s="1">
        <f t="shared" si="0"/>
        <v>53114</v>
      </c>
      <c r="I19" s="2">
        <v>478026</v>
      </c>
      <c r="J19" s="6">
        <v>0.2</v>
      </c>
      <c r="K19" s="8">
        <v>382420.8</v>
      </c>
      <c r="L19" s="2" t="s">
        <v>19</v>
      </c>
      <c r="M19" s="2" t="s">
        <v>20</v>
      </c>
      <c r="N19" s="4">
        <v>44976</v>
      </c>
      <c r="O19" s="3" t="str">
        <f t="shared" si="1"/>
        <v>Feb</v>
      </c>
      <c r="P19" s="13" t="s">
        <v>45</v>
      </c>
    </row>
    <row r="20" spans="1:16" x14ac:dyDescent="0.25">
      <c r="A20" s="10" t="s">
        <v>88</v>
      </c>
      <c r="B20" s="1" t="s">
        <v>87</v>
      </c>
      <c r="C20" s="1" t="s">
        <v>47</v>
      </c>
      <c r="D20" s="1" t="s">
        <v>16</v>
      </c>
      <c r="E20" s="1" t="s">
        <v>17</v>
      </c>
      <c r="F20" s="1" t="s">
        <v>82</v>
      </c>
      <c r="G20" s="1">
        <v>2</v>
      </c>
      <c r="H20" s="1">
        <f t="shared" si="0"/>
        <v>74604</v>
      </c>
      <c r="I20" s="1">
        <v>149208</v>
      </c>
      <c r="J20" s="6">
        <v>4.9999999999999961E-2</v>
      </c>
      <c r="K20" s="7">
        <v>141747.6</v>
      </c>
      <c r="L20" s="1" t="s">
        <v>49</v>
      </c>
      <c r="M20" s="1" t="s">
        <v>26</v>
      </c>
      <c r="N20" s="3">
        <v>45100</v>
      </c>
      <c r="O20" s="3" t="str">
        <f t="shared" si="1"/>
        <v>Jun</v>
      </c>
      <c r="P20" s="12" t="s">
        <v>83</v>
      </c>
    </row>
    <row r="21" spans="1:16" x14ac:dyDescent="0.25">
      <c r="A21" s="11" t="s">
        <v>89</v>
      </c>
      <c r="B21" s="1" t="s">
        <v>90</v>
      </c>
      <c r="C21" s="2" t="s">
        <v>58</v>
      </c>
      <c r="D21" s="1" t="s">
        <v>29</v>
      </c>
      <c r="E21" s="1" t="s">
        <v>30</v>
      </c>
      <c r="F21" s="2" t="s">
        <v>68</v>
      </c>
      <c r="G21" s="1">
        <v>1</v>
      </c>
      <c r="H21" s="1">
        <f t="shared" si="0"/>
        <v>349685</v>
      </c>
      <c r="I21" s="2">
        <v>349685</v>
      </c>
      <c r="J21" s="6">
        <v>0.05</v>
      </c>
      <c r="K21" s="8">
        <v>332200.75</v>
      </c>
      <c r="L21" s="2" t="s">
        <v>49</v>
      </c>
      <c r="M21" s="2" t="s">
        <v>38</v>
      </c>
      <c r="N21" s="4">
        <v>45071</v>
      </c>
      <c r="O21" s="3" t="str">
        <f t="shared" si="1"/>
        <v>May</v>
      </c>
      <c r="P21" s="13" t="s">
        <v>21</v>
      </c>
    </row>
    <row r="22" spans="1:16" x14ac:dyDescent="0.25">
      <c r="A22" s="10" t="s">
        <v>91</v>
      </c>
      <c r="B22" s="1" t="s">
        <v>92</v>
      </c>
      <c r="C22" s="1" t="s">
        <v>63</v>
      </c>
      <c r="D22" s="1" t="s">
        <v>29</v>
      </c>
      <c r="E22" s="1" t="s">
        <v>43</v>
      </c>
      <c r="F22" s="1" t="s">
        <v>44</v>
      </c>
      <c r="G22" s="1">
        <v>19</v>
      </c>
      <c r="H22" s="1">
        <f t="shared" si="0"/>
        <v>491750</v>
      </c>
      <c r="I22" s="1">
        <v>9343250</v>
      </c>
      <c r="J22" s="6">
        <v>0.05</v>
      </c>
      <c r="K22" s="7">
        <v>8876087.5</v>
      </c>
      <c r="L22" s="1" t="s">
        <v>37</v>
      </c>
      <c r="M22" s="1" t="s">
        <v>38</v>
      </c>
      <c r="N22" s="3">
        <v>44941</v>
      </c>
      <c r="O22" s="3" t="str">
        <f t="shared" si="1"/>
        <v>Jan</v>
      </c>
      <c r="P22" s="12" t="s">
        <v>55</v>
      </c>
    </row>
    <row r="23" spans="1:16" x14ac:dyDescent="0.25">
      <c r="A23" s="11" t="s">
        <v>93</v>
      </c>
      <c r="B23" s="1" t="s">
        <v>34</v>
      </c>
      <c r="C23" s="2" t="s">
        <v>81</v>
      </c>
      <c r="D23" s="1" t="s">
        <v>29</v>
      </c>
      <c r="E23" s="1" t="s">
        <v>24</v>
      </c>
      <c r="F23" s="2" t="s">
        <v>71</v>
      </c>
      <c r="G23" s="1">
        <v>12</v>
      </c>
      <c r="H23" s="1">
        <f t="shared" si="0"/>
        <v>13870</v>
      </c>
      <c r="I23" s="2">
        <v>166440</v>
      </c>
      <c r="J23" s="6">
        <v>0.2</v>
      </c>
      <c r="K23" s="8">
        <v>133152</v>
      </c>
      <c r="L23" s="2" t="s">
        <v>49</v>
      </c>
      <c r="M23" s="2" t="s">
        <v>26</v>
      </c>
      <c r="N23" s="4">
        <v>44965</v>
      </c>
      <c r="O23" s="3" t="str">
        <f t="shared" si="1"/>
        <v>Feb</v>
      </c>
      <c r="P23" s="13" t="s">
        <v>45</v>
      </c>
    </row>
    <row r="24" spans="1:16" x14ac:dyDescent="0.25">
      <c r="A24" s="10" t="s">
        <v>94</v>
      </c>
      <c r="B24" s="1" t="s">
        <v>95</v>
      </c>
      <c r="C24" s="1" t="s">
        <v>70</v>
      </c>
      <c r="D24" s="1" t="s">
        <v>16</v>
      </c>
      <c r="E24" s="1" t="s">
        <v>35</v>
      </c>
      <c r="F24" s="1" t="s">
        <v>48</v>
      </c>
      <c r="G24" s="1">
        <v>1</v>
      </c>
      <c r="H24" s="1">
        <f t="shared" si="0"/>
        <v>54857</v>
      </c>
      <c r="I24" s="1">
        <v>54857</v>
      </c>
      <c r="J24" s="6">
        <v>0.15000000000000005</v>
      </c>
      <c r="K24" s="7">
        <v>46628.45</v>
      </c>
      <c r="L24" s="1" t="s">
        <v>19</v>
      </c>
      <c r="M24" s="1" t="s">
        <v>26</v>
      </c>
      <c r="N24" s="3">
        <v>45125</v>
      </c>
      <c r="O24" s="3" t="str">
        <f t="shared" si="1"/>
        <v>Jul</v>
      </c>
      <c r="P24" s="12" t="s">
        <v>32</v>
      </c>
    </row>
    <row r="25" spans="1:16" x14ac:dyDescent="0.25">
      <c r="A25" s="11" t="s">
        <v>96</v>
      </c>
      <c r="B25" s="1" t="s">
        <v>62</v>
      </c>
      <c r="C25" s="2" t="s">
        <v>47</v>
      </c>
      <c r="D25" s="1" t="s">
        <v>16</v>
      </c>
      <c r="E25" s="1" t="s">
        <v>17</v>
      </c>
      <c r="F25" s="2" t="s">
        <v>73</v>
      </c>
      <c r="G25" s="1">
        <v>4</v>
      </c>
      <c r="H25" s="1">
        <f t="shared" si="0"/>
        <v>67773</v>
      </c>
      <c r="I25" s="2">
        <v>271092</v>
      </c>
      <c r="J25" s="6">
        <v>5.0000000000000024E-2</v>
      </c>
      <c r="K25" s="8">
        <v>257537.4</v>
      </c>
      <c r="L25" s="2" t="s">
        <v>60</v>
      </c>
      <c r="M25" s="2" t="s">
        <v>26</v>
      </c>
      <c r="N25" s="4">
        <v>45034</v>
      </c>
      <c r="O25" s="3" t="str">
        <f t="shared" si="1"/>
        <v>Apr</v>
      </c>
      <c r="P25" s="13" t="s">
        <v>77</v>
      </c>
    </row>
    <row r="26" spans="1:16" x14ac:dyDescent="0.25">
      <c r="A26" s="10" t="s">
        <v>97</v>
      </c>
      <c r="B26" s="1" t="s">
        <v>90</v>
      </c>
      <c r="C26" s="1" t="s">
        <v>51</v>
      </c>
      <c r="D26" s="1" t="s">
        <v>16</v>
      </c>
      <c r="E26" s="1" t="s">
        <v>43</v>
      </c>
      <c r="F26" s="1" t="s">
        <v>98</v>
      </c>
      <c r="G26" s="1">
        <v>15</v>
      </c>
      <c r="H26" s="1">
        <f t="shared" si="0"/>
        <v>57047</v>
      </c>
      <c r="I26" s="1">
        <v>855705</v>
      </c>
      <c r="J26" s="6">
        <v>0</v>
      </c>
      <c r="K26" s="7">
        <v>855705</v>
      </c>
      <c r="L26" s="1" t="s">
        <v>49</v>
      </c>
      <c r="M26" s="1" t="s">
        <v>38</v>
      </c>
      <c r="N26" s="3">
        <v>44931</v>
      </c>
      <c r="O26" s="3" t="str">
        <f t="shared" si="1"/>
        <v>Jan</v>
      </c>
      <c r="P26" s="12" t="s">
        <v>65</v>
      </c>
    </row>
    <row r="27" spans="1:16" x14ac:dyDescent="0.25">
      <c r="A27" s="11" t="s">
        <v>99</v>
      </c>
      <c r="B27" s="1" t="s">
        <v>41</v>
      </c>
      <c r="C27" s="2" t="s">
        <v>28</v>
      </c>
      <c r="D27" s="1" t="s">
        <v>29</v>
      </c>
      <c r="E27" s="1" t="s">
        <v>35</v>
      </c>
      <c r="F27" s="2" t="s">
        <v>36</v>
      </c>
      <c r="G27" s="1">
        <v>3</v>
      </c>
      <c r="H27" s="1">
        <f t="shared" si="0"/>
        <v>47219</v>
      </c>
      <c r="I27" s="2">
        <v>141657</v>
      </c>
      <c r="J27" s="6">
        <v>0.19999999999999996</v>
      </c>
      <c r="K27" s="8">
        <v>113325.6</v>
      </c>
      <c r="L27" s="2" t="s">
        <v>60</v>
      </c>
      <c r="M27" s="2" t="s">
        <v>20</v>
      </c>
      <c r="N27" s="4">
        <v>45220</v>
      </c>
      <c r="O27" s="3" t="str">
        <f t="shared" si="1"/>
        <v>Oct</v>
      </c>
      <c r="P27" s="13" t="s">
        <v>74</v>
      </c>
    </row>
    <row r="28" spans="1:16" x14ac:dyDescent="0.25">
      <c r="A28" s="10" t="s">
        <v>100</v>
      </c>
      <c r="B28" s="1" t="s">
        <v>101</v>
      </c>
      <c r="C28" s="1" t="s">
        <v>81</v>
      </c>
      <c r="D28" s="1" t="s">
        <v>29</v>
      </c>
      <c r="E28" s="1" t="s">
        <v>24</v>
      </c>
      <c r="F28" s="1" t="s">
        <v>48</v>
      </c>
      <c r="G28" s="1">
        <v>5</v>
      </c>
      <c r="H28" s="1">
        <f t="shared" si="0"/>
        <v>74397</v>
      </c>
      <c r="I28" s="1">
        <v>371985</v>
      </c>
      <c r="J28" s="6">
        <v>0.1</v>
      </c>
      <c r="K28" s="7">
        <v>334786.5</v>
      </c>
      <c r="L28" s="1" t="s">
        <v>19</v>
      </c>
      <c r="M28" s="1" t="s">
        <v>38</v>
      </c>
      <c r="N28" s="3">
        <v>44928</v>
      </c>
      <c r="O28" s="3" t="str">
        <f t="shared" si="1"/>
        <v>Jan</v>
      </c>
      <c r="P28" s="12" t="s">
        <v>21</v>
      </c>
    </row>
    <row r="29" spans="1:16" x14ac:dyDescent="0.25">
      <c r="A29" s="11" t="s">
        <v>102</v>
      </c>
      <c r="B29" s="1" t="s">
        <v>103</v>
      </c>
      <c r="C29" s="2" t="s">
        <v>47</v>
      </c>
      <c r="D29" s="1" t="s">
        <v>16</v>
      </c>
      <c r="E29" s="1" t="s">
        <v>30</v>
      </c>
      <c r="F29" s="2" t="s">
        <v>31</v>
      </c>
      <c r="G29" s="1">
        <v>20</v>
      </c>
      <c r="H29" s="1">
        <f t="shared" si="0"/>
        <v>25550</v>
      </c>
      <c r="I29" s="2">
        <v>511000</v>
      </c>
      <c r="J29" s="6">
        <v>0.2</v>
      </c>
      <c r="K29" s="8">
        <v>408800</v>
      </c>
      <c r="L29" s="2" t="s">
        <v>60</v>
      </c>
      <c r="M29" s="2" t="s">
        <v>64</v>
      </c>
      <c r="N29" s="4">
        <v>45135</v>
      </c>
      <c r="O29" s="3" t="str">
        <f t="shared" si="1"/>
        <v>Jul</v>
      </c>
      <c r="P29" s="13" t="s">
        <v>32</v>
      </c>
    </row>
    <row r="30" spans="1:16" x14ac:dyDescent="0.25">
      <c r="A30" s="10" t="s">
        <v>104</v>
      </c>
      <c r="B30" s="1" t="s">
        <v>85</v>
      </c>
      <c r="C30" s="1" t="s">
        <v>28</v>
      </c>
      <c r="D30" s="1" t="s">
        <v>29</v>
      </c>
      <c r="E30" s="1" t="s">
        <v>17</v>
      </c>
      <c r="F30" s="1" t="s">
        <v>82</v>
      </c>
      <c r="G30" s="1">
        <v>19</v>
      </c>
      <c r="H30" s="1">
        <f t="shared" si="0"/>
        <v>67061</v>
      </c>
      <c r="I30" s="1">
        <v>1274159</v>
      </c>
      <c r="J30" s="6">
        <v>0.15000000000000008</v>
      </c>
      <c r="K30" s="7">
        <v>1083035.1499999999</v>
      </c>
      <c r="L30" s="1" t="s">
        <v>37</v>
      </c>
      <c r="M30" s="1" t="s">
        <v>38</v>
      </c>
      <c r="N30" s="3">
        <v>45234</v>
      </c>
      <c r="O30" s="3" t="str">
        <f t="shared" si="1"/>
        <v>Nov</v>
      </c>
      <c r="P30" s="12" t="s">
        <v>45</v>
      </c>
    </row>
    <row r="31" spans="1:16" x14ac:dyDescent="0.25">
      <c r="A31" s="11" t="s">
        <v>105</v>
      </c>
      <c r="B31" s="1" t="s">
        <v>23</v>
      </c>
      <c r="C31" s="2" t="s">
        <v>42</v>
      </c>
      <c r="D31" s="1" t="s">
        <v>29</v>
      </c>
      <c r="E31" s="1" t="s">
        <v>17</v>
      </c>
      <c r="F31" s="2" t="s">
        <v>18</v>
      </c>
      <c r="G31" s="1">
        <v>19</v>
      </c>
      <c r="H31" s="1">
        <f t="shared" si="0"/>
        <v>79162</v>
      </c>
      <c r="I31" s="2">
        <v>1504078</v>
      </c>
      <c r="J31" s="6">
        <v>4.999999999999994E-2</v>
      </c>
      <c r="K31" s="8">
        <v>1428874.1</v>
      </c>
      <c r="L31" s="2" t="s">
        <v>49</v>
      </c>
      <c r="M31" s="2" t="s">
        <v>38</v>
      </c>
      <c r="N31" s="4">
        <v>45146</v>
      </c>
      <c r="O31" s="3" t="str">
        <f t="shared" si="1"/>
        <v>Aug</v>
      </c>
      <c r="P31" s="13" t="s">
        <v>55</v>
      </c>
    </row>
    <row r="32" spans="1:16" x14ac:dyDescent="0.25">
      <c r="A32" s="10" t="s">
        <v>106</v>
      </c>
      <c r="B32" s="1" t="s">
        <v>107</v>
      </c>
      <c r="C32" s="1" t="s">
        <v>81</v>
      </c>
      <c r="D32" s="1" t="s">
        <v>29</v>
      </c>
      <c r="E32" s="1" t="s">
        <v>35</v>
      </c>
      <c r="F32" s="1" t="s">
        <v>108</v>
      </c>
      <c r="G32" s="1">
        <v>10</v>
      </c>
      <c r="H32" s="1">
        <f t="shared" si="0"/>
        <v>57187</v>
      </c>
      <c r="I32" s="1">
        <v>571870</v>
      </c>
      <c r="J32" s="6">
        <v>0.15</v>
      </c>
      <c r="K32" s="7">
        <v>486089.5</v>
      </c>
      <c r="L32" s="1" t="s">
        <v>37</v>
      </c>
      <c r="M32" s="1" t="s">
        <v>64</v>
      </c>
      <c r="N32" s="3">
        <v>45233</v>
      </c>
      <c r="O32" s="3" t="str">
        <f t="shared" si="1"/>
        <v>Nov</v>
      </c>
      <c r="P32" s="12" t="s">
        <v>55</v>
      </c>
    </row>
    <row r="33" spans="1:16" x14ac:dyDescent="0.25">
      <c r="A33" s="11" t="s">
        <v>109</v>
      </c>
      <c r="B33" s="1" t="s">
        <v>34</v>
      </c>
      <c r="C33" s="2" t="s">
        <v>28</v>
      </c>
      <c r="D33" s="1" t="s">
        <v>29</v>
      </c>
      <c r="E33" s="1" t="s">
        <v>30</v>
      </c>
      <c r="F33" s="2" t="s">
        <v>31</v>
      </c>
      <c r="G33" s="1">
        <v>11</v>
      </c>
      <c r="H33" s="1">
        <f t="shared" si="0"/>
        <v>42171</v>
      </c>
      <c r="I33" s="2">
        <v>463881</v>
      </c>
      <c r="J33" s="6">
        <v>9.999999999999995E-2</v>
      </c>
      <c r="K33" s="8">
        <v>417492.9</v>
      </c>
      <c r="L33" s="2" t="s">
        <v>60</v>
      </c>
      <c r="M33" s="2" t="s">
        <v>26</v>
      </c>
      <c r="N33" s="4">
        <v>45099</v>
      </c>
      <c r="O33" s="3" t="str">
        <f t="shared" si="1"/>
        <v>Jun</v>
      </c>
      <c r="P33" s="13" t="s">
        <v>39</v>
      </c>
    </row>
    <row r="34" spans="1:16" x14ac:dyDescent="0.25">
      <c r="A34" s="10" t="s">
        <v>110</v>
      </c>
      <c r="B34" s="1" t="s">
        <v>34</v>
      </c>
      <c r="C34" s="1" t="s">
        <v>54</v>
      </c>
      <c r="D34" s="1" t="s">
        <v>29</v>
      </c>
      <c r="E34" s="1" t="s">
        <v>17</v>
      </c>
      <c r="F34" s="1" t="s">
        <v>73</v>
      </c>
      <c r="G34" s="1">
        <v>15</v>
      </c>
      <c r="H34" s="1">
        <f t="shared" si="0"/>
        <v>446563</v>
      </c>
      <c r="I34" s="1">
        <v>6698445</v>
      </c>
      <c r="J34" s="6">
        <v>0.15</v>
      </c>
      <c r="K34" s="7">
        <v>5693678.25</v>
      </c>
      <c r="L34" s="1" t="s">
        <v>49</v>
      </c>
      <c r="M34" s="1" t="s">
        <v>64</v>
      </c>
      <c r="N34" s="3">
        <v>45071</v>
      </c>
      <c r="O34" s="3" t="str">
        <f t="shared" si="1"/>
        <v>May</v>
      </c>
      <c r="P34" s="12" t="s">
        <v>32</v>
      </c>
    </row>
    <row r="35" spans="1:16" x14ac:dyDescent="0.25">
      <c r="A35" s="11" t="s">
        <v>111</v>
      </c>
      <c r="B35" s="1" t="s">
        <v>67</v>
      </c>
      <c r="C35" s="2" t="s">
        <v>54</v>
      </c>
      <c r="D35" s="1" t="s">
        <v>29</v>
      </c>
      <c r="E35" s="1" t="s">
        <v>35</v>
      </c>
      <c r="F35" s="2" t="s">
        <v>68</v>
      </c>
      <c r="G35" s="1">
        <v>2</v>
      </c>
      <c r="H35" s="1">
        <f t="shared" si="0"/>
        <v>271358</v>
      </c>
      <c r="I35" s="2">
        <v>542716</v>
      </c>
      <c r="J35" s="6">
        <v>0.2</v>
      </c>
      <c r="K35" s="8">
        <v>434172.8</v>
      </c>
      <c r="L35" s="2" t="s">
        <v>19</v>
      </c>
      <c r="M35" s="2" t="s">
        <v>26</v>
      </c>
      <c r="N35" s="4">
        <v>44997</v>
      </c>
      <c r="O35" s="3" t="str">
        <f t="shared" si="1"/>
        <v>Mar</v>
      </c>
      <c r="P35" s="13" t="s">
        <v>74</v>
      </c>
    </row>
    <row r="36" spans="1:16" x14ac:dyDescent="0.25">
      <c r="A36" s="10" t="s">
        <v>112</v>
      </c>
      <c r="B36" s="1" t="s">
        <v>87</v>
      </c>
      <c r="C36" s="1" t="s">
        <v>51</v>
      </c>
      <c r="D36" s="1" t="s">
        <v>16</v>
      </c>
      <c r="E36" s="1" t="s">
        <v>35</v>
      </c>
      <c r="F36" s="1" t="s">
        <v>68</v>
      </c>
      <c r="G36" s="1">
        <v>17</v>
      </c>
      <c r="H36" s="1">
        <f t="shared" si="0"/>
        <v>27617</v>
      </c>
      <c r="I36" s="1">
        <v>469489</v>
      </c>
      <c r="J36" s="6">
        <v>0</v>
      </c>
      <c r="K36" s="7">
        <v>469489</v>
      </c>
      <c r="L36" s="1" t="s">
        <v>37</v>
      </c>
      <c r="M36" s="1" t="s">
        <v>26</v>
      </c>
      <c r="N36" s="3">
        <v>45186</v>
      </c>
      <c r="O36" s="3" t="str">
        <f t="shared" si="1"/>
        <v>Sep</v>
      </c>
      <c r="P36" s="12" t="s">
        <v>74</v>
      </c>
    </row>
    <row r="37" spans="1:16" x14ac:dyDescent="0.25">
      <c r="A37" s="11" t="s">
        <v>113</v>
      </c>
      <c r="B37" s="1" t="s">
        <v>114</v>
      </c>
      <c r="C37" s="2" t="s">
        <v>63</v>
      </c>
      <c r="D37" s="1" t="s">
        <v>29</v>
      </c>
      <c r="E37" s="1" t="s">
        <v>17</v>
      </c>
      <c r="F37" s="2" t="s">
        <v>73</v>
      </c>
      <c r="G37" s="1">
        <v>2</v>
      </c>
      <c r="H37" s="1">
        <f t="shared" si="0"/>
        <v>389310</v>
      </c>
      <c r="I37" s="2">
        <v>778620</v>
      </c>
      <c r="J37" s="6">
        <v>0</v>
      </c>
      <c r="K37" s="8">
        <v>778620</v>
      </c>
      <c r="L37" s="2" t="s">
        <v>60</v>
      </c>
      <c r="M37" s="2" t="s">
        <v>20</v>
      </c>
      <c r="N37" s="4">
        <v>45104</v>
      </c>
      <c r="O37" s="3" t="str">
        <f t="shared" si="1"/>
        <v>Jun</v>
      </c>
      <c r="P37" s="13" t="s">
        <v>83</v>
      </c>
    </row>
    <row r="38" spans="1:16" x14ac:dyDescent="0.25">
      <c r="A38" s="10" t="s">
        <v>115</v>
      </c>
      <c r="B38" s="1" t="s">
        <v>103</v>
      </c>
      <c r="C38" s="1" t="s">
        <v>70</v>
      </c>
      <c r="D38" s="1" t="s">
        <v>16</v>
      </c>
      <c r="E38" s="1" t="s">
        <v>24</v>
      </c>
      <c r="F38" s="1" t="s">
        <v>71</v>
      </c>
      <c r="G38" s="1">
        <v>14</v>
      </c>
      <c r="H38" s="1">
        <f t="shared" si="0"/>
        <v>56740</v>
      </c>
      <c r="I38" s="1">
        <v>794360</v>
      </c>
      <c r="J38" s="6">
        <v>0.05</v>
      </c>
      <c r="K38" s="7">
        <v>754642</v>
      </c>
      <c r="L38" s="1" t="s">
        <v>37</v>
      </c>
      <c r="M38" s="1" t="s">
        <v>26</v>
      </c>
      <c r="N38" s="3">
        <v>45173</v>
      </c>
      <c r="O38" s="3" t="str">
        <f t="shared" si="1"/>
        <v>Sep</v>
      </c>
      <c r="P38" s="12" t="s">
        <v>55</v>
      </c>
    </row>
    <row r="39" spans="1:16" x14ac:dyDescent="0.25">
      <c r="A39" s="11" t="s">
        <v>116</v>
      </c>
      <c r="B39" s="1" t="s">
        <v>114</v>
      </c>
      <c r="C39" s="2" t="s">
        <v>70</v>
      </c>
      <c r="D39" s="1" t="s">
        <v>16</v>
      </c>
      <c r="E39" s="1" t="s">
        <v>17</v>
      </c>
      <c r="F39" s="2" t="s">
        <v>18</v>
      </c>
      <c r="G39" s="1">
        <v>10</v>
      </c>
      <c r="H39" s="1">
        <f t="shared" si="0"/>
        <v>56131</v>
      </c>
      <c r="I39" s="2">
        <v>561310</v>
      </c>
      <c r="J39" s="6">
        <v>0</v>
      </c>
      <c r="K39" s="8">
        <v>561310</v>
      </c>
      <c r="L39" s="2" t="s">
        <v>49</v>
      </c>
      <c r="M39" s="2" t="s">
        <v>26</v>
      </c>
      <c r="N39" s="4">
        <v>45119</v>
      </c>
      <c r="O39" s="3" t="str">
        <f t="shared" si="1"/>
        <v>Jul</v>
      </c>
      <c r="P39" s="13" t="s">
        <v>21</v>
      </c>
    </row>
    <row r="40" spans="1:16" x14ac:dyDescent="0.25">
      <c r="A40" s="10" t="s">
        <v>117</v>
      </c>
      <c r="B40" s="1" t="s">
        <v>76</v>
      </c>
      <c r="C40" s="1" t="s">
        <v>70</v>
      </c>
      <c r="D40" s="1" t="s">
        <v>16</v>
      </c>
      <c r="E40" s="1" t="s">
        <v>24</v>
      </c>
      <c r="F40" s="1" t="s">
        <v>25</v>
      </c>
      <c r="G40" s="1">
        <v>18</v>
      </c>
      <c r="H40" s="1">
        <f t="shared" si="0"/>
        <v>39768</v>
      </c>
      <c r="I40" s="1">
        <v>715824</v>
      </c>
      <c r="J40" s="6">
        <v>0.10000000000000003</v>
      </c>
      <c r="K40" s="7">
        <v>644241.6</v>
      </c>
      <c r="L40" s="1" t="s">
        <v>49</v>
      </c>
      <c r="M40" s="1" t="s">
        <v>64</v>
      </c>
      <c r="N40" s="3">
        <v>45126</v>
      </c>
      <c r="O40" s="3" t="str">
        <f t="shared" si="1"/>
        <v>Jul</v>
      </c>
      <c r="P40" s="12" t="s">
        <v>32</v>
      </c>
    </row>
    <row r="41" spans="1:16" x14ac:dyDescent="0.25">
      <c r="A41" s="11" t="s">
        <v>118</v>
      </c>
      <c r="B41" s="1" t="s">
        <v>119</v>
      </c>
      <c r="C41" s="2" t="s">
        <v>47</v>
      </c>
      <c r="D41" s="1" t="s">
        <v>16</v>
      </c>
      <c r="E41" s="1" t="s">
        <v>17</v>
      </c>
      <c r="F41" s="2" t="s">
        <v>18</v>
      </c>
      <c r="G41" s="1">
        <v>10</v>
      </c>
      <c r="H41" s="1">
        <f t="shared" si="0"/>
        <v>15739</v>
      </c>
      <c r="I41" s="2">
        <v>157390</v>
      </c>
      <c r="J41" s="6">
        <v>0.15</v>
      </c>
      <c r="K41" s="8">
        <v>133781.5</v>
      </c>
      <c r="L41" s="2" t="s">
        <v>37</v>
      </c>
      <c r="M41" s="2" t="s">
        <v>26</v>
      </c>
      <c r="N41" s="4">
        <v>45160</v>
      </c>
      <c r="O41" s="3" t="str">
        <f t="shared" si="1"/>
        <v>Aug</v>
      </c>
      <c r="P41" s="13" t="s">
        <v>65</v>
      </c>
    </row>
    <row r="42" spans="1:16" x14ac:dyDescent="0.25">
      <c r="A42" s="10" t="s">
        <v>120</v>
      </c>
      <c r="B42" s="1" t="s">
        <v>41</v>
      </c>
      <c r="C42" s="1" t="s">
        <v>70</v>
      </c>
      <c r="D42" s="1" t="s">
        <v>16</v>
      </c>
      <c r="E42" s="1" t="s">
        <v>35</v>
      </c>
      <c r="F42" s="1" t="s">
        <v>68</v>
      </c>
      <c r="G42" s="1">
        <v>4</v>
      </c>
      <c r="H42" s="1">
        <f t="shared" si="0"/>
        <v>11014</v>
      </c>
      <c r="I42" s="1">
        <v>44056</v>
      </c>
      <c r="J42" s="6">
        <v>0</v>
      </c>
      <c r="K42" s="7">
        <v>44056</v>
      </c>
      <c r="L42" s="1" t="s">
        <v>60</v>
      </c>
      <c r="M42" s="1" t="s">
        <v>20</v>
      </c>
      <c r="N42" s="3">
        <v>45092</v>
      </c>
      <c r="O42" s="3" t="str">
        <f t="shared" si="1"/>
        <v>Jun</v>
      </c>
      <c r="P42" s="12" t="s">
        <v>74</v>
      </c>
    </row>
    <row r="43" spans="1:16" x14ac:dyDescent="0.25">
      <c r="A43" s="11" t="s">
        <v>121</v>
      </c>
      <c r="B43" s="1" t="s">
        <v>67</v>
      </c>
      <c r="C43" s="2" t="s">
        <v>51</v>
      </c>
      <c r="D43" s="1" t="s">
        <v>16</v>
      </c>
      <c r="E43" s="1" t="s">
        <v>35</v>
      </c>
      <c r="F43" s="2" t="s">
        <v>108</v>
      </c>
      <c r="G43" s="1">
        <v>10</v>
      </c>
      <c r="H43" s="1">
        <f t="shared" si="0"/>
        <v>71469</v>
      </c>
      <c r="I43" s="2">
        <v>714690</v>
      </c>
      <c r="J43" s="6">
        <v>0.1</v>
      </c>
      <c r="K43" s="8">
        <v>643221</v>
      </c>
      <c r="L43" s="2" t="s">
        <v>37</v>
      </c>
      <c r="M43" s="2" t="s">
        <v>20</v>
      </c>
      <c r="N43" s="4">
        <v>45055</v>
      </c>
      <c r="O43" s="3" t="str">
        <f t="shared" si="1"/>
        <v>May</v>
      </c>
      <c r="P43" s="13" t="s">
        <v>122</v>
      </c>
    </row>
    <row r="44" spans="1:16" x14ac:dyDescent="0.25">
      <c r="A44" s="10" t="s">
        <v>123</v>
      </c>
      <c r="B44" s="1" t="s">
        <v>101</v>
      </c>
      <c r="C44" s="1" t="s">
        <v>70</v>
      </c>
      <c r="D44" s="1" t="s">
        <v>16</v>
      </c>
      <c r="E44" s="1" t="s">
        <v>35</v>
      </c>
      <c r="F44" s="1" t="s">
        <v>68</v>
      </c>
      <c r="G44" s="1">
        <v>11</v>
      </c>
      <c r="H44" s="1">
        <f t="shared" si="0"/>
        <v>66993</v>
      </c>
      <c r="I44" s="1">
        <v>736923</v>
      </c>
      <c r="J44" s="6">
        <v>0.14999999999999994</v>
      </c>
      <c r="K44" s="7">
        <v>626384.55000000005</v>
      </c>
      <c r="L44" s="1" t="s">
        <v>60</v>
      </c>
      <c r="M44" s="1" t="s">
        <v>26</v>
      </c>
      <c r="N44" s="3">
        <v>45047</v>
      </c>
      <c r="O44" s="3" t="str">
        <f t="shared" si="1"/>
        <v>May</v>
      </c>
      <c r="P44" s="12" t="s">
        <v>32</v>
      </c>
    </row>
    <row r="45" spans="1:16" x14ac:dyDescent="0.25">
      <c r="A45" s="11" t="s">
        <v>124</v>
      </c>
      <c r="B45" s="1" t="s">
        <v>107</v>
      </c>
      <c r="C45" s="2" t="s">
        <v>54</v>
      </c>
      <c r="D45" s="1" t="s">
        <v>29</v>
      </c>
      <c r="E45" s="1" t="s">
        <v>30</v>
      </c>
      <c r="F45" s="2" t="s">
        <v>125</v>
      </c>
      <c r="G45" s="1">
        <v>10</v>
      </c>
      <c r="H45" s="1">
        <f t="shared" si="0"/>
        <v>248754</v>
      </c>
      <c r="I45" s="2">
        <v>2487540</v>
      </c>
      <c r="J45" s="6">
        <v>0.05</v>
      </c>
      <c r="K45" s="8">
        <v>2363163</v>
      </c>
      <c r="L45" s="2" t="s">
        <v>49</v>
      </c>
      <c r="M45" s="2" t="s">
        <v>26</v>
      </c>
      <c r="N45" s="4">
        <v>45241</v>
      </c>
      <c r="O45" s="3" t="str">
        <f t="shared" si="1"/>
        <v>Nov</v>
      </c>
      <c r="P45" s="13" t="s">
        <v>21</v>
      </c>
    </row>
    <row r="46" spans="1:16" x14ac:dyDescent="0.25">
      <c r="A46" s="10" t="s">
        <v>126</v>
      </c>
      <c r="B46" s="1" t="s">
        <v>95</v>
      </c>
      <c r="C46" s="1" t="s">
        <v>63</v>
      </c>
      <c r="D46" s="1" t="s">
        <v>29</v>
      </c>
      <c r="E46" s="1" t="s">
        <v>24</v>
      </c>
      <c r="F46" s="1" t="s">
        <v>48</v>
      </c>
      <c r="G46" s="1">
        <v>17</v>
      </c>
      <c r="H46" s="1">
        <f t="shared" si="0"/>
        <v>211776</v>
      </c>
      <c r="I46" s="1">
        <v>3600192</v>
      </c>
      <c r="J46" s="6">
        <v>0.19999999999999998</v>
      </c>
      <c r="K46" s="7">
        <v>2880153.6000000001</v>
      </c>
      <c r="L46" s="1" t="s">
        <v>60</v>
      </c>
      <c r="M46" s="1" t="s">
        <v>20</v>
      </c>
      <c r="N46" s="3">
        <v>45267</v>
      </c>
      <c r="O46" s="3" t="str">
        <f t="shared" si="1"/>
        <v>Dec</v>
      </c>
      <c r="P46" s="12" t="s">
        <v>55</v>
      </c>
    </row>
    <row r="47" spans="1:16" x14ac:dyDescent="0.25">
      <c r="A47" s="11" t="s">
        <v>127</v>
      </c>
      <c r="B47" s="1" t="s">
        <v>34</v>
      </c>
      <c r="C47" s="2" t="s">
        <v>58</v>
      </c>
      <c r="D47" s="1" t="s">
        <v>29</v>
      </c>
      <c r="E47" s="1" t="s">
        <v>24</v>
      </c>
      <c r="F47" s="2" t="s">
        <v>48</v>
      </c>
      <c r="G47" s="1">
        <v>6</v>
      </c>
      <c r="H47" s="1">
        <f t="shared" si="0"/>
        <v>478200</v>
      </c>
      <c r="I47" s="2">
        <v>2869200</v>
      </c>
      <c r="J47" s="6">
        <v>0.15</v>
      </c>
      <c r="K47" s="8">
        <v>2438820</v>
      </c>
      <c r="L47" s="2" t="s">
        <v>49</v>
      </c>
      <c r="M47" s="2" t="s">
        <v>20</v>
      </c>
      <c r="N47" s="4">
        <v>45252</v>
      </c>
      <c r="O47" s="3" t="str">
        <f t="shared" si="1"/>
        <v>Nov</v>
      </c>
      <c r="P47" s="13" t="s">
        <v>45</v>
      </c>
    </row>
    <row r="48" spans="1:16" x14ac:dyDescent="0.25">
      <c r="A48" s="10" t="s">
        <v>128</v>
      </c>
      <c r="B48" s="1" t="s">
        <v>119</v>
      </c>
      <c r="C48" s="1" t="s">
        <v>54</v>
      </c>
      <c r="D48" s="1" t="s">
        <v>29</v>
      </c>
      <c r="E48" s="1" t="s">
        <v>35</v>
      </c>
      <c r="F48" s="1" t="s">
        <v>68</v>
      </c>
      <c r="G48" s="1">
        <v>7</v>
      </c>
      <c r="H48" s="1">
        <f t="shared" si="0"/>
        <v>422359</v>
      </c>
      <c r="I48" s="1">
        <v>2956513</v>
      </c>
      <c r="J48" s="6">
        <v>0</v>
      </c>
      <c r="K48" s="7">
        <v>2956513</v>
      </c>
      <c r="L48" s="1" t="s">
        <v>60</v>
      </c>
      <c r="M48" s="1" t="s">
        <v>26</v>
      </c>
      <c r="N48" s="3">
        <v>45111</v>
      </c>
      <c r="O48" s="3" t="str">
        <f t="shared" si="1"/>
        <v>Jul</v>
      </c>
      <c r="P48" s="12" t="s">
        <v>32</v>
      </c>
    </row>
    <row r="49" spans="1:16" x14ac:dyDescent="0.25">
      <c r="A49" s="11" t="s">
        <v>129</v>
      </c>
      <c r="B49" s="1" t="s">
        <v>101</v>
      </c>
      <c r="C49" s="2" t="s">
        <v>63</v>
      </c>
      <c r="D49" s="1" t="s">
        <v>29</v>
      </c>
      <c r="E49" s="1" t="s">
        <v>43</v>
      </c>
      <c r="F49" s="2" t="s">
        <v>44</v>
      </c>
      <c r="G49" s="1">
        <v>9</v>
      </c>
      <c r="H49" s="1">
        <f t="shared" si="0"/>
        <v>229485</v>
      </c>
      <c r="I49" s="2">
        <v>2065365</v>
      </c>
      <c r="J49" s="6">
        <v>0.1</v>
      </c>
      <c r="K49" s="8">
        <v>1858828.5</v>
      </c>
      <c r="L49" s="2" t="s">
        <v>49</v>
      </c>
      <c r="M49" s="2" t="s">
        <v>26</v>
      </c>
      <c r="N49" s="4">
        <v>45152</v>
      </c>
      <c r="O49" s="3" t="str">
        <f t="shared" si="1"/>
        <v>Aug</v>
      </c>
      <c r="P49" s="13" t="s">
        <v>45</v>
      </c>
    </row>
    <row r="50" spans="1:16" x14ac:dyDescent="0.25">
      <c r="A50" s="10" t="s">
        <v>130</v>
      </c>
      <c r="B50" s="1" t="s">
        <v>101</v>
      </c>
      <c r="C50" s="1" t="s">
        <v>42</v>
      </c>
      <c r="D50" s="1" t="s">
        <v>29</v>
      </c>
      <c r="E50" s="1" t="s">
        <v>35</v>
      </c>
      <c r="F50" s="1" t="s">
        <v>31</v>
      </c>
      <c r="G50" s="1">
        <v>14</v>
      </c>
      <c r="H50" s="1">
        <f t="shared" si="0"/>
        <v>69942</v>
      </c>
      <c r="I50" s="1">
        <v>979188</v>
      </c>
      <c r="J50" s="6">
        <v>0.10000000000000005</v>
      </c>
      <c r="K50" s="7">
        <v>881269.2</v>
      </c>
      <c r="L50" s="1" t="s">
        <v>49</v>
      </c>
      <c r="M50" s="1" t="s">
        <v>26</v>
      </c>
      <c r="N50" s="3">
        <v>44968</v>
      </c>
      <c r="O50" s="3" t="str">
        <f t="shared" si="1"/>
        <v>Feb</v>
      </c>
      <c r="P50" s="12" t="s">
        <v>65</v>
      </c>
    </row>
    <row r="51" spans="1:16" x14ac:dyDescent="0.25">
      <c r="A51" s="11" t="s">
        <v>131</v>
      </c>
      <c r="B51" s="1" t="s">
        <v>90</v>
      </c>
      <c r="C51" s="2" t="s">
        <v>15</v>
      </c>
      <c r="D51" s="1" t="s">
        <v>16</v>
      </c>
      <c r="E51" s="1" t="s">
        <v>24</v>
      </c>
      <c r="F51" s="2" t="s">
        <v>48</v>
      </c>
      <c r="G51" s="1">
        <v>6</v>
      </c>
      <c r="H51" s="1">
        <f t="shared" si="0"/>
        <v>21143</v>
      </c>
      <c r="I51" s="2">
        <v>126858</v>
      </c>
      <c r="J51" s="6">
        <v>0.10000000000000002</v>
      </c>
      <c r="K51" s="8">
        <v>114172.2</v>
      </c>
      <c r="L51" s="2" t="s">
        <v>19</v>
      </c>
      <c r="M51" s="2" t="s">
        <v>64</v>
      </c>
      <c r="N51" s="4">
        <v>45201</v>
      </c>
      <c r="O51" s="3" t="str">
        <f t="shared" si="1"/>
        <v>Oct</v>
      </c>
      <c r="P51" s="13" t="s">
        <v>55</v>
      </c>
    </row>
    <row r="52" spans="1:16" x14ac:dyDescent="0.25">
      <c r="A52" s="10" t="s">
        <v>132</v>
      </c>
      <c r="B52" s="1" t="s">
        <v>119</v>
      </c>
      <c r="C52" s="1" t="s">
        <v>28</v>
      </c>
      <c r="D52" s="1" t="s">
        <v>29</v>
      </c>
      <c r="E52" s="1" t="s">
        <v>24</v>
      </c>
      <c r="F52" s="1" t="s">
        <v>48</v>
      </c>
      <c r="G52" s="1">
        <v>9</v>
      </c>
      <c r="H52" s="1">
        <f t="shared" si="0"/>
        <v>20572</v>
      </c>
      <c r="I52" s="1">
        <v>185148</v>
      </c>
      <c r="J52" s="6">
        <v>4.9999999999999968E-2</v>
      </c>
      <c r="K52" s="7">
        <v>175890.6</v>
      </c>
      <c r="L52" s="1" t="s">
        <v>19</v>
      </c>
      <c r="M52" s="1" t="s">
        <v>20</v>
      </c>
      <c r="N52" s="3">
        <v>45181</v>
      </c>
      <c r="O52" s="3" t="str">
        <f t="shared" si="1"/>
        <v>Sep</v>
      </c>
      <c r="P52" s="12" t="s">
        <v>21</v>
      </c>
    </row>
    <row r="53" spans="1:16" x14ac:dyDescent="0.25">
      <c r="A53" s="11" t="s">
        <v>133</v>
      </c>
      <c r="B53" s="1" t="s">
        <v>80</v>
      </c>
      <c r="C53" s="2" t="s">
        <v>28</v>
      </c>
      <c r="D53" s="1" t="s">
        <v>29</v>
      </c>
      <c r="E53" s="1" t="s">
        <v>35</v>
      </c>
      <c r="F53" s="2" t="s">
        <v>108</v>
      </c>
      <c r="G53" s="1">
        <v>12</v>
      </c>
      <c r="H53" s="1">
        <f t="shared" si="0"/>
        <v>31302</v>
      </c>
      <c r="I53" s="2">
        <v>375624</v>
      </c>
      <c r="J53" s="6">
        <v>0.10000000000000006</v>
      </c>
      <c r="K53" s="8">
        <v>338061.6</v>
      </c>
      <c r="L53" s="2" t="s">
        <v>60</v>
      </c>
      <c r="M53" s="2" t="s">
        <v>26</v>
      </c>
      <c r="N53" s="4">
        <v>45096</v>
      </c>
      <c r="O53" s="3" t="str">
        <f t="shared" si="1"/>
        <v>Jun</v>
      </c>
      <c r="P53" s="13" t="s">
        <v>83</v>
      </c>
    </row>
    <row r="54" spans="1:16" x14ac:dyDescent="0.25">
      <c r="A54" s="10" t="s">
        <v>134</v>
      </c>
      <c r="B54" s="1" t="s">
        <v>85</v>
      </c>
      <c r="C54" s="1" t="s">
        <v>81</v>
      </c>
      <c r="D54" s="1" t="s">
        <v>29</v>
      </c>
      <c r="E54" s="1" t="s">
        <v>43</v>
      </c>
      <c r="F54" s="1" t="s">
        <v>44</v>
      </c>
      <c r="G54" s="1">
        <v>13</v>
      </c>
      <c r="H54" s="1">
        <f t="shared" si="0"/>
        <v>66348</v>
      </c>
      <c r="I54" s="1">
        <v>862524</v>
      </c>
      <c r="J54" s="6">
        <v>0.20000000000000007</v>
      </c>
      <c r="K54" s="7">
        <v>690019.2</v>
      </c>
      <c r="L54" s="1" t="s">
        <v>49</v>
      </c>
      <c r="M54" s="1" t="s">
        <v>64</v>
      </c>
      <c r="N54" s="3">
        <v>45248</v>
      </c>
      <c r="O54" s="3" t="str">
        <f t="shared" si="1"/>
        <v>Nov</v>
      </c>
      <c r="P54" s="12" t="s">
        <v>65</v>
      </c>
    </row>
    <row r="55" spans="1:16" x14ac:dyDescent="0.25">
      <c r="A55" s="11" t="s">
        <v>135</v>
      </c>
      <c r="B55" s="1" t="s">
        <v>101</v>
      </c>
      <c r="C55" s="2" t="s">
        <v>42</v>
      </c>
      <c r="D55" s="1" t="s">
        <v>29</v>
      </c>
      <c r="E55" s="1" t="s">
        <v>17</v>
      </c>
      <c r="F55" s="2" t="s">
        <v>18</v>
      </c>
      <c r="G55" s="1">
        <v>5</v>
      </c>
      <c r="H55" s="1">
        <f t="shared" si="0"/>
        <v>47217</v>
      </c>
      <c r="I55" s="2">
        <v>236085</v>
      </c>
      <c r="J55" s="6">
        <v>0.05</v>
      </c>
      <c r="K55" s="8">
        <v>224280.75</v>
      </c>
      <c r="L55" s="2" t="s">
        <v>60</v>
      </c>
      <c r="M55" s="2" t="s">
        <v>20</v>
      </c>
      <c r="N55" s="4">
        <v>45244</v>
      </c>
      <c r="O55" s="3" t="str">
        <f t="shared" si="1"/>
        <v>Nov</v>
      </c>
      <c r="P55" s="13" t="s">
        <v>45</v>
      </c>
    </row>
    <row r="56" spans="1:16" x14ac:dyDescent="0.25">
      <c r="A56" s="10" t="s">
        <v>136</v>
      </c>
      <c r="B56" s="1" t="s">
        <v>119</v>
      </c>
      <c r="C56" s="1" t="s">
        <v>63</v>
      </c>
      <c r="D56" s="1" t="s">
        <v>29</v>
      </c>
      <c r="E56" s="1" t="s">
        <v>17</v>
      </c>
      <c r="F56" s="1" t="s">
        <v>18</v>
      </c>
      <c r="G56" s="1">
        <v>6</v>
      </c>
      <c r="H56" s="1">
        <f t="shared" si="0"/>
        <v>166396</v>
      </c>
      <c r="I56" s="1">
        <v>998376</v>
      </c>
      <c r="J56" s="6">
        <v>5.0000000000000044E-2</v>
      </c>
      <c r="K56" s="7">
        <v>948457.2</v>
      </c>
      <c r="L56" s="1" t="s">
        <v>60</v>
      </c>
      <c r="M56" s="1" t="s">
        <v>64</v>
      </c>
      <c r="N56" s="3">
        <v>44945</v>
      </c>
      <c r="O56" s="3" t="str">
        <f t="shared" si="1"/>
        <v>Jan</v>
      </c>
      <c r="P56" s="12" t="s">
        <v>45</v>
      </c>
    </row>
    <row r="57" spans="1:16" x14ac:dyDescent="0.25">
      <c r="A57" s="11" t="s">
        <v>137</v>
      </c>
      <c r="B57" s="1" t="s">
        <v>119</v>
      </c>
      <c r="C57" s="2" t="s">
        <v>15</v>
      </c>
      <c r="D57" s="1" t="s">
        <v>16</v>
      </c>
      <c r="E57" s="1" t="s">
        <v>43</v>
      </c>
      <c r="F57" s="2" t="s">
        <v>98</v>
      </c>
      <c r="G57" s="1">
        <v>10</v>
      </c>
      <c r="H57" s="1">
        <f t="shared" si="0"/>
        <v>75345</v>
      </c>
      <c r="I57" s="2">
        <v>753450</v>
      </c>
      <c r="J57" s="6">
        <v>0</v>
      </c>
      <c r="K57" s="8">
        <v>753450</v>
      </c>
      <c r="L57" s="2" t="s">
        <v>702</v>
      </c>
      <c r="M57" s="2" t="s">
        <v>20</v>
      </c>
      <c r="N57" s="4">
        <v>45272</v>
      </c>
      <c r="O57" s="3" t="str">
        <f t="shared" si="1"/>
        <v>Dec</v>
      </c>
      <c r="P57" s="13" t="s">
        <v>45</v>
      </c>
    </row>
    <row r="58" spans="1:16" x14ac:dyDescent="0.25">
      <c r="A58" s="10" t="s">
        <v>138</v>
      </c>
      <c r="B58" s="1" t="s">
        <v>101</v>
      </c>
      <c r="C58" s="1" t="s">
        <v>42</v>
      </c>
      <c r="D58" s="1" t="s">
        <v>29</v>
      </c>
      <c r="E58" s="1" t="s">
        <v>24</v>
      </c>
      <c r="F58" s="1" t="s">
        <v>71</v>
      </c>
      <c r="G58" s="1">
        <v>3</v>
      </c>
      <c r="H58" s="1">
        <f t="shared" si="0"/>
        <v>45577</v>
      </c>
      <c r="I58" s="1">
        <v>136731</v>
      </c>
      <c r="J58" s="6">
        <v>0.19999999999999998</v>
      </c>
      <c r="K58" s="7">
        <v>109384.8</v>
      </c>
      <c r="L58" s="1" t="s">
        <v>702</v>
      </c>
      <c r="M58" s="1" t="s">
        <v>38</v>
      </c>
      <c r="N58" s="3">
        <v>45253</v>
      </c>
      <c r="O58" s="3" t="str">
        <f t="shared" si="1"/>
        <v>Nov</v>
      </c>
      <c r="P58" s="12" t="s">
        <v>32</v>
      </c>
    </row>
    <row r="59" spans="1:16" x14ac:dyDescent="0.25">
      <c r="A59" s="11" t="s">
        <v>139</v>
      </c>
      <c r="B59" s="1" t="s">
        <v>76</v>
      </c>
      <c r="C59" s="2" t="s">
        <v>63</v>
      </c>
      <c r="D59" s="1" t="s">
        <v>29</v>
      </c>
      <c r="E59" s="1" t="s">
        <v>24</v>
      </c>
      <c r="F59" s="2" t="s">
        <v>48</v>
      </c>
      <c r="G59" s="1">
        <v>1</v>
      </c>
      <c r="H59" s="1">
        <f t="shared" si="0"/>
        <v>247484</v>
      </c>
      <c r="I59" s="2">
        <v>247484</v>
      </c>
      <c r="J59" s="6">
        <v>0</v>
      </c>
      <c r="K59" s="8">
        <v>247484</v>
      </c>
      <c r="L59" s="2" t="s">
        <v>60</v>
      </c>
      <c r="M59" s="2" t="s">
        <v>26</v>
      </c>
      <c r="N59" s="4">
        <v>44938</v>
      </c>
      <c r="O59" s="3" t="str">
        <f t="shared" si="1"/>
        <v>Jan</v>
      </c>
      <c r="P59" s="13" t="s">
        <v>122</v>
      </c>
    </row>
    <row r="60" spans="1:16" x14ac:dyDescent="0.25">
      <c r="A60" s="10" t="s">
        <v>140</v>
      </c>
      <c r="B60" s="1" t="s">
        <v>67</v>
      </c>
      <c r="C60" s="1" t="s">
        <v>54</v>
      </c>
      <c r="D60" s="1" t="s">
        <v>29</v>
      </c>
      <c r="E60" s="1" t="s">
        <v>17</v>
      </c>
      <c r="F60" s="1" t="s">
        <v>18</v>
      </c>
      <c r="G60" s="1">
        <v>15</v>
      </c>
      <c r="H60" s="1">
        <f t="shared" si="0"/>
        <v>180211</v>
      </c>
      <c r="I60" s="1">
        <v>2703165</v>
      </c>
      <c r="J60" s="6">
        <v>0.2</v>
      </c>
      <c r="K60" s="7">
        <v>2162532</v>
      </c>
      <c r="L60" s="1" t="s">
        <v>60</v>
      </c>
      <c r="M60" s="1" t="s">
        <v>26</v>
      </c>
      <c r="N60" s="3">
        <v>45173</v>
      </c>
      <c r="O60" s="3" t="str">
        <f t="shared" si="1"/>
        <v>Sep</v>
      </c>
      <c r="P60" s="12" t="s">
        <v>122</v>
      </c>
    </row>
    <row r="61" spans="1:16" x14ac:dyDescent="0.25">
      <c r="A61" s="11" t="s">
        <v>141</v>
      </c>
      <c r="B61" s="1" t="s">
        <v>92</v>
      </c>
      <c r="C61" s="2" t="s">
        <v>81</v>
      </c>
      <c r="D61" s="1" t="s">
        <v>29</v>
      </c>
      <c r="E61" s="1" t="s">
        <v>43</v>
      </c>
      <c r="F61" s="2" t="s">
        <v>142</v>
      </c>
      <c r="G61" s="1">
        <v>9</v>
      </c>
      <c r="H61" s="1">
        <f t="shared" si="0"/>
        <v>10778</v>
      </c>
      <c r="I61" s="2">
        <v>97002</v>
      </c>
      <c r="J61" s="6">
        <v>0</v>
      </c>
      <c r="K61" s="8">
        <v>97002</v>
      </c>
      <c r="L61" s="2" t="s">
        <v>19</v>
      </c>
      <c r="M61" s="2" t="s">
        <v>38</v>
      </c>
      <c r="N61" s="4">
        <v>45275</v>
      </c>
      <c r="O61" s="3" t="str">
        <f t="shared" si="1"/>
        <v>Dec</v>
      </c>
      <c r="P61" s="13" t="s">
        <v>32</v>
      </c>
    </row>
    <row r="62" spans="1:16" x14ac:dyDescent="0.25">
      <c r="A62" s="10" t="s">
        <v>143</v>
      </c>
      <c r="B62" s="1" t="s">
        <v>62</v>
      </c>
      <c r="C62" s="1" t="s">
        <v>15</v>
      </c>
      <c r="D62" s="1" t="s">
        <v>16</v>
      </c>
      <c r="E62" s="1" t="s">
        <v>35</v>
      </c>
      <c r="F62" s="1" t="s">
        <v>36</v>
      </c>
      <c r="G62" s="1">
        <v>20</v>
      </c>
      <c r="H62" s="1">
        <f t="shared" si="0"/>
        <v>28593</v>
      </c>
      <c r="I62" s="1">
        <v>571860</v>
      </c>
      <c r="J62" s="6">
        <v>0.15</v>
      </c>
      <c r="K62" s="7">
        <v>486081</v>
      </c>
      <c r="L62" s="1" t="s">
        <v>19</v>
      </c>
      <c r="M62" s="1" t="s">
        <v>20</v>
      </c>
      <c r="N62" s="3">
        <v>44933</v>
      </c>
      <c r="O62" s="3" t="str">
        <f t="shared" si="1"/>
        <v>Jan</v>
      </c>
      <c r="P62" s="12" t="s">
        <v>32</v>
      </c>
    </row>
    <row r="63" spans="1:16" x14ac:dyDescent="0.25">
      <c r="A63" s="11" t="s">
        <v>144</v>
      </c>
      <c r="B63" s="1" t="s">
        <v>76</v>
      </c>
      <c r="C63" s="2" t="s">
        <v>58</v>
      </c>
      <c r="D63" s="1" t="s">
        <v>29</v>
      </c>
      <c r="E63" s="1" t="s">
        <v>35</v>
      </c>
      <c r="F63" s="2" t="s">
        <v>108</v>
      </c>
      <c r="G63" s="1">
        <v>2</v>
      </c>
      <c r="H63" s="1">
        <f t="shared" si="0"/>
        <v>279704</v>
      </c>
      <c r="I63" s="2">
        <v>559408</v>
      </c>
      <c r="J63" s="6">
        <v>0.19999999999999996</v>
      </c>
      <c r="K63" s="8">
        <v>447526.40000000002</v>
      </c>
      <c r="L63" s="2" t="s">
        <v>37</v>
      </c>
      <c r="M63" s="2" t="s">
        <v>26</v>
      </c>
      <c r="N63" s="4">
        <v>45089</v>
      </c>
      <c r="O63" s="3" t="str">
        <f t="shared" si="1"/>
        <v>Jun</v>
      </c>
      <c r="P63" s="13" t="s">
        <v>39</v>
      </c>
    </row>
    <row r="64" spans="1:16" x14ac:dyDescent="0.25">
      <c r="A64" s="10" t="s">
        <v>145</v>
      </c>
      <c r="B64" s="1" t="s">
        <v>87</v>
      </c>
      <c r="C64" s="1" t="s">
        <v>54</v>
      </c>
      <c r="D64" s="1" t="s">
        <v>29</v>
      </c>
      <c r="E64" s="1" t="s">
        <v>24</v>
      </c>
      <c r="F64" s="1" t="s">
        <v>48</v>
      </c>
      <c r="G64" s="1">
        <v>6</v>
      </c>
      <c r="H64" s="1">
        <f t="shared" si="0"/>
        <v>325968</v>
      </c>
      <c r="I64" s="1">
        <v>1955808</v>
      </c>
      <c r="J64" s="6">
        <v>0</v>
      </c>
      <c r="K64" s="7">
        <v>1955808</v>
      </c>
      <c r="L64" s="1" t="s">
        <v>60</v>
      </c>
      <c r="M64" s="1" t="s">
        <v>20</v>
      </c>
      <c r="N64" s="3">
        <v>45133</v>
      </c>
      <c r="O64" s="3" t="str">
        <f t="shared" si="1"/>
        <v>Jul</v>
      </c>
      <c r="P64" s="12" t="s">
        <v>77</v>
      </c>
    </row>
    <row r="65" spans="1:16" x14ac:dyDescent="0.25">
      <c r="A65" s="11" t="s">
        <v>146</v>
      </c>
      <c r="B65" s="1" t="s">
        <v>157</v>
      </c>
      <c r="C65" s="2" t="s">
        <v>15</v>
      </c>
      <c r="D65" s="1" t="s">
        <v>16</v>
      </c>
      <c r="E65" s="1" t="s">
        <v>24</v>
      </c>
      <c r="F65" s="2" t="s">
        <v>71</v>
      </c>
      <c r="G65" s="1">
        <v>11</v>
      </c>
      <c r="H65" s="1">
        <f t="shared" si="0"/>
        <v>65946</v>
      </c>
      <c r="I65" s="2">
        <v>725406</v>
      </c>
      <c r="J65" s="6">
        <v>0.15000000000000002</v>
      </c>
      <c r="K65" s="8">
        <v>616595.1</v>
      </c>
      <c r="L65" s="2" t="s">
        <v>60</v>
      </c>
      <c r="M65" s="2" t="s">
        <v>26</v>
      </c>
      <c r="N65" s="4">
        <v>45089</v>
      </c>
      <c r="O65" s="3" t="str">
        <f t="shared" si="1"/>
        <v>Jun</v>
      </c>
      <c r="P65" s="13" t="s">
        <v>55</v>
      </c>
    </row>
    <row r="66" spans="1:16" x14ac:dyDescent="0.25">
      <c r="A66" s="10" t="s">
        <v>147</v>
      </c>
      <c r="B66" s="1" t="s">
        <v>92</v>
      </c>
      <c r="C66" s="1" t="s">
        <v>51</v>
      </c>
      <c r="D66" s="1" t="s">
        <v>16</v>
      </c>
      <c r="E66" s="1" t="s">
        <v>30</v>
      </c>
      <c r="F66" s="1" t="s">
        <v>31</v>
      </c>
      <c r="G66" s="1">
        <v>7</v>
      </c>
      <c r="H66" s="1">
        <f t="shared" ref="H66:H129" si="2">I66/G66</f>
        <v>61973</v>
      </c>
      <c r="I66" s="1">
        <v>433811</v>
      </c>
      <c r="J66" s="6">
        <v>9.999999999999995E-2</v>
      </c>
      <c r="K66" s="7">
        <v>390429.9</v>
      </c>
      <c r="L66" s="1" t="s">
        <v>37</v>
      </c>
      <c r="M66" s="1" t="s">
        <v>64</v>
      </c>
      <c r="N66" s="3">
        <v>44981</v>
      </c>
      <c r="O66" s="3" t="str">
        <f t="shared" si="1"/>
        <v>Feb</v>
      </c>
      <c r="P66" s="12" t="s">
        <v>39</v>
      </c>
    </row>
    <row r="67" spans="1:16" x14ac:dyDescent="0.25">
      <c r="A67" s="11" t="s">
        <v>148</v>
      </c>
      <c r="B67" s="1" t="s">
        <v>103</v>
      </c>
      <c r="C67" s="2" t="s">
        <v>63</v>
      </c>
      <c r="D67" s="1" t="s">
        <v>29</v>
      </c>
      <c r="E67" s="1" t="s">
        <v>17</v>
      </c>
      <c r="F67" s="2" t="s">
        <v>108</v>
      </c>
      <c r="G67" s="1">
        <v>15</v>
      </c>
      <c r="H67" s="1">
        <f t="shared" si="2"/>
        <v>158536</v>
      </c>
      <c r="I67" s="2">
        <v>2378040</v>
      </c>
      <c r="J67" s="6">
        <v>0</v>
      </c>
      <c r="K67" s="8">
        <v>2378040</v>
      </c>
      <c r="L67" s="2" t="s">
        <v>37</v>
      </c>
      <c r="M67" s="2" t="s">
        <v>64</v>
      </c>
      <c r="N67" s="4">
        <v>45114</v>
      </c>
      <c r="O67" s="3" t="str">
        <f t="shared" ref="O67:O130" si="3">TEXT(N67,"mmm")</f>
        <v>Jul</v>
      </c>
      <c r="P67" s="13" t="s">
        <v>21</v>
      </c>
    </row>
    <row r="68" spans="1:16" x14ac:dyDescent="0.25">
      <c r="A68" s="10" t="s">
        <v>149</v>
      </c>
      <c r="B68" s="1" t="s">
        <v>57</v>
      </c>
      <c r="C68" s="1" t="s">
        <v>63</v>
      </c>
      <c r="D68" s="1" t="s">
        <v>29</v>
      </c>
      <c r="E68" s="1" t="s">
        <v>30</v>
      </c>
      <c r="F68" s="1" t="s">
        <v>125</v>
      </c>
      <c r="G68" s="1">
        <v>19</v>
      </c>
      <c r="H68" s="1">
        <f t="shared" si="2"/>
        <v>346768</v>
      </c>
      <c r="I68" s="1">
        <v>6588592</v>
      </c>
      <c r="J68" s="6">
        <v>0.14999999999999997</v>
      </c>
      <c r="K68" s="7">
        <v>5600303.2000000002</v>
      </c>
      <c r="L68" s="1" t="s">
        <v>60</v>
      </c>
      <c r="M68" s="1" t="s">
        <v>64</v>
      </c>
      <c r="N68" s="3">
        <v>45285</v>
      </c>
      <c r="O68" s="3" t="str">
        <f t="shared" si="3"/>
        <v>Dec</v>
      </c>
      <c r="P68" s="12" t="s">
        <v>65</v>
      </c>
    </row>
    <row r="69" spans="1:16" x14ac:dyDescent="0.25">
      <c r="A69" s="11" t="s">
        <v>150</v>
      </c>
      <c r="B69" s="1" t="s">
        <v>107</v>
      </c>
      <c r="C69" s="2" t="s">
        <v>54</v>
      </c>
      <c r="D69" s="1" t="s">
        <v>29</v>
      </c>
      <c r="E69" s="1" t="s">
        <v>30</v>
      </c>
      <c r="F69" s="2" t="s">
        <v>59</v>
      </c>
      <c r="G69" s="1">
        <v>8</v>
      </c>
      <c r="H69" s="1">
        <f t="shared" si="2"/>
        <v>172443</v>
      </c>
      <c r="I69" s="2">
        <v>1379544</v>
      </c>
      <c r="J69" s="6">
        <v>4.9999999999999968E-2</v>
      </c>
      <c r="K69" s="8">
        <v>1310566.8</v>
      </c>
      <c r="L69" s="2" t="s">
        <v>37</v>
      </c>
      <c r="M69" s="2" t="s">
        <v>26</v>
      </c>
      <c r="N69" s="4">
        <v>44965</v>
      </c>
      <c r="O69" s="3" t="str">
        <f t="shared" si="3"/>
        <v>Feb</v>
      </c>
      <c r="P69" s="13" t="s">
        <v>39</v>
      </c>
    </row>
    <row r="70" spans="1:16" x14ac:dyDescent="0.25">
      <c r="A70" s="10" t="s">
        <v>151</v>
      </c>
      <c r="B70" s="1" t="s">
        <v>702</v>
      </c>
      <c r="C70" s="1" t="s">
        <v>54</v>
      </c>
      <c r="D70" s="1" t="s">
        <v>29</v>
      </c>
      <c r="E70" s="1" t="s">
        <v>30</v>
      </c>
      <c r="F70" s="1" t="s">
        <v>125</v>
      </c>
      <c r="G70" s="1">
        <v>20</v>
      </c>
      <c r="H70" s="1">
        <f t="shared" si="2"/>
        <v>451296</v>
      </c>
      <c r="I70" s="1">
        <v>9025920</v>
      </c>
      <c r="J70" s="6">
        <v>0.05</v>
      </c>
      <c r="K70" s="7">
        <v>8574624</v>
      </c>
      <c r="L70" s="1" t="s">
        <v>37</v>
      </c>
      <c r="M70" s="1" t="s">
        <v>64</v>
      </c>
      <c r="N70" s="3">
        <v>45095</v>
      </c>
      <c r="O70" s="3" t="str">
        <f t="shared" si="3"/>
        <v>Jun</v>
      </c>
      <c r="P70" s="12" t="s">
        <v>55</v>
      </c>
    </row>
    <row r="71" spans="1:16" x14ac:dyDescent="0.25">
      <c r="A71" s="11" t="s">
        <v>152</v>
      </c>
      <c r="B71" s="1" t="s">
        <v>119</v>
      </c>
      <c r="C71" s="2" t="s">
        <v>28</v>
      </c>
      <c r="D71" s="1" t="s">
        <v>29</v>
      </c>
      <c r="E71" s="1" t="s">
        <v>30</v>
      </c>
      <c r="F71" s="2" t="s">
        <v>59</v>
      </c>
      <c r="G71" s="1">
        <v>12</v>
      </c>
      <c r="H71" s="1">
        <f t="shared" si="2"/>
        <v>21805</v>
      </c>
      <c r="I71" s="2">
        <v>261660</v>
      </c>
      <c r="J71" s="6">
        <v>0.05</v>
      </c>
      <c r="K71" s="8">
        <v>248577</v>
      </c>
      <c r="L71" s="2" t="s">
        <v>49</v>
      </c>
      <c r="M71" s="2" t="s">
        <v>38</v>
      </c>
      <c r="N71" s="4">
        <v>45093</v>
      </c>
      <c r="O71" s="3" t="str">
        <f t="shared" si="3"/>
        <v>Jun</v>
      </c>
      <c r="P71" s="13" t="s">
        <v>83</v>
      </c>
    </row>
    <row r="72" spans="1:16" x14ac:dyDescent="0.25">
      <c r="A72" s="10" t="s">
        <v>153</v>
      </c>
      <c r="B72" s="1" t="s">
        <v>114</v>
      </c>
      <c r="C72" s="1" t="s">
        <v>28</v>
      </c>
      <c r="D72" s="1" t="s">
        <v>29</v>
      </c>
      <c r="E72" s="1" t="s">
        <v>24</v>
      </c>
      <c r="F72" s="1" t="s">
        <v>48</v>
      </c>
      <c r="G72" s="1">
        <v>14</v>
      </c>
      <c r="H72" s="1">
        <f t="shared" si="2"/>
        <v>26842</v>
      </c>
      <c r="I72" s="1">
        <v>375788</v>
      </c>
      <c r="J72" s="6">
        <v>0.15000000000000002</v>
      </c>
      <c r="K72" s="7">
        <v>319419.8</v>
      </c>
      <c r="L72" s="1" t="s">
        <v>49</v>
      </c>
      <c r="M72" s="1" t="s">
        <v>20</v>
      </c>
      <c r="N72" s="3">
        <v>45213</v>
      </c>
      <c r="O72" s="3" t="str">
        <f t="shared" si="3"/>
        <v>Oct</v>
      </c>
      <c r="P72" s="12" t="s">
        <v>65</v>
      </c>
    </row>
    <row r="73" spans="1:16" x14ac:dyDescent="0.25">
      <c r="A73" s="11" t="s">
        <v>154</v>
      </c>
      <c r="B73" s="1" t="s">
        <v>119</v>
      </c>
      <c r="C73" s="2" t="s">
        <v>81</v>
      </c>
      <c r="D73" s="1" t="s">
        <v>29</v>
      </c>
      <c r="E73" s="1" t="s">
        <v>24</v>
      </c>
      <c r="F73" s="2" t="s">
        <v>71</v>
      </c>
      <c r="G73" s="1">
        <v>3</v>
      </c>
      <c r="H73" s="1">
        <f t="shared" si="2"/>
        <v>35828</v>
      </c>
      <c r="I73" s="2">
        <v>107484</v>
      </c>
      <c r="J73" s="6">
        <v>0.15000000000000005</v>
      </c>
      <c r="K73" s="8">
        <v>91361.4</v>
      </c>
      <c r="L73" s="2" t="s">
        <v>60</v>
      </c>
      <c r="M73" s="2" t="s">
        <v>64</v>
      </c>
      <c r="N73" s="4">
        <v>44995</v>
      </c>
      <c r="O73" s="3" t="str">
        <f t="shared" si="3"/>
        <v>Mar</v>
      </c>
      <c r="P73" s="13" t="s">
        <v>45</v>
      </c>
    </row>
    <row r="74" spans="1:16" x14ac:dyDescent="0.25">
      <c r="A74" s="10" t="s">
        <v>155</v>
      </c>
      <c r="B74" s="1" t="s">
        <v>702</v>
      </c>
      <c r="C74" s="1" t="s">
        <v>28</v>
      </c>
      <c r="D74" s="1" t="s">
        <v>29</v>
      </c>
      <c r="E74" s="1" t="s">
        <v>35</v>
      </c>
      <c r="F74" s="1" t="s">
        <v>68</v>
      </c>
      <c r="G74" s="1">
        <v>5</v>
      </c>
      <c r="H74" s="1">
        <f t="shared" si="2"/>
        <v>70323</v>
      </c>
      <c r="I74" s="1">
        <v>351615</v>
      </c>
      <c r="J74" s="6">
        <v>0.1</v>
      </c>
      <c r="K74" s="7">
        <v>316453.5</v>
      </c>
      <c r="L74" s="1" t="s">
        <v>19</v>
      </c>
      <c r="M74" s="1" t="s">
        <v>26</v>
      </c>
      <c r="N74" s="3">
        <v>45154</v>
      </c>
      <c r="O74" s="3" t="str">
        <f t="shared" si="3"/>
        <v>Aug</v>
      </c>
      <c r="P74" s="12" t="s">
        <v>122</v>
      </c>
    </row>
    <row r="75" spans="1:16" x14ac:dyDescent="0.25">
      <c r="A75" s="11" t="s">
        <v>156</v>
      </c>
      <c r="B75" s="1" t="s">
        <v>157</v>
      </c>
      <c r="C75" s="2" t="s">
        <v>58</v>
      </c>
      <c r="D75" s="1" t="s">
        <v>29</v>
      </c>
      <c r="E75" s="1" t="s">
        <v>35</v>
      </c>
      <c r="F75" s="2" t="s">
        <v>98</v>
      </c>
      <c r="G75" s="1">
        <v>13</v>
      </c>
      <c r="H75" s="1">
        <f t="shared" si="2"/>
        <v>273207</v>
      </c>
      <c r="I75" s="2">
        <v>3551691</v>
      </c>
      <c r="J75" s="6">
        <v>0</v>
      </c>
      <c r="K75" s="8">
        <v>3551691</v>
      </c>
      <c r="L75" s="2" t="s">
        <v>37</v>
      </c>
      <c r="M75" s="2" t="s">
        <v>64</v>
      </c>
      <c r="N75" s="4">
        <v>45153</v>
      </c>
      <c r="O75" s="3" t="str">
        <f t="shared" si="3"/>
        <v>Aug</v>
      </c>
      <c r="P75" s="13" t="s">
        <v>77</v>
      </c>
    </row>
    <row r="76" spans="1:16" x14ac:dyDescent="0.25">
      <c r="A76" s="10" t="s">
        <v>158</v>
      </c>
      <c r="B76" s="1" t="s">
        <v>76</v>
      </c>
      <c r="C76" s="1" t="s">
        <v>54</v>
      </c>
      <c r="D76" s="1" t="s">
        <v>29</v>
      </c>
      <c r="E76" s="1" t="s">
        <v>43</v>
      </c>
      <c r="F76" s="1" t="s">
        <v>98</v>
      </c>
      <c r="G76" s="1">
        <v>15</v>
      </c>
      <c r="H76" s="1">
        <f t="shared" si="2"/>
        <v>429786</v>
      </c>
      <c r="I76" s="1">
        <v>6446790</v>
      </c>
      <c r="J76" s="6">
        <v>0.1</v>
      </c>
      <c r="K76" s="7">
        <v>5802111</v>
      </c>
      <c r="L76" s="1" t="s">
        <v>19</v>
      </c>
      <c r="M76" s="1" t="s">
        <v>26</v>
      </c>
      <c r="N76" s="3">
        <v>45024</v>
      </c>
      <c r="O76" s="3" t="str">
        <f t="shared" si="3"/>
        <v>Apr</v>
      </c>
      <c r="P76" s="12" t="s">
        <v>83</v>
      </c>
    </row>
    <row r="77" spans="1:16" x14ac:dyDescent="0.25">
      <c r="A77" s="11" t="s">
        <v>159</v>
      </c>
      <c r="B77" s="1" t="s">
        <v>157</v>
      </c>
      <c r="C77" s="2" t="s">
        <v>42</v>
      </c>
      <c r="D77" s="1" t="s">
        <v>29</v>
      </c>
      <c r="E77" s="1" t="s">
        <v>43</v>
      </c>
      <c r="F77" s="2" t="s">
        <v>142</v>
      </c>
      <c r="G77" s="1">
        <v>19</v>
      </c>
      <c r="H77" s="1">
        <f t="shared" si="2"/>
        <v>8199</v>
      </c>
      <c r="I77" s="2">
        <v>155781</v>
      </c>
      <c r="J77" s="6">
        <v>0.14999999999999997</v>
      </c>
      <c r="K77" s="8">
        <v>132413.85</v>
      </c>
      <c r="L77" s="2" t="s">
        <v>37</v>
      </c>
      <c r="M77" s="2" t="s">
        <v>38</v>
      </c>
      <c r="N77" s="4">
        <v>45098</v>
      </c>
      <c r="O77" s="3" t="str">
        <f t="shared" si="3"/>
        <v>Jun</v>
      </c>
      <c r="P77" s="13" t="s">
        <v>83</v>
      </c>
    </row>
    <row r="78" spans="1:16" x14ac:dyDescent="0.25">
      <c r="A78" s="10" t="s">
        <v>160</v>
      </c>
      <c r="B78" s="1" t="s">
        <v>57</v>
      </c>
      <c r="C78" s="1" t="s">
        <v>81</v>
      </c>
      <c r="D78" s="1" t="s">
        <v>29</v>
      </c>
      <c r="E78" s="1" t="s">
        <v>43</v>
      </c>
      <c r="F78" s="1" t="s">
        <v>98</v>
      </c>
      <c r="G78" s="1">
        <v>14</v>
      </c>
      <c r="H78" s="1">
        <f t="shared" si="2"/>
        <v>52876</v>
      </c>
      <c r="I78" s="1">
        <v>740264</v>
      </c>
      <c r="J78" s="6">
        <v>0.10000000000000003</v>
      </c>
      <c r="K78" s="7">
        <v>666237.6</v>
      </c>
      <c r="L78" s="1" t="s">
        <v>19</v>
      </c>
      <c r="M78" s="1" t="s">
        <v>64</v>
      </c>
      <c r="N78" s="3">
        <v>45082</v>
      </c>
      <c r="O78" s="3" t="str">
        <f t="shared" si="3"/>
        <v>Jun</v>
      </c>
      <c r="P78" s="12" t="s">
        <v>77</v>
      </c>
    </row>
    <row r="79" spans="1:16" x14ac:dyDescent="0.25">
      <c r="A79" s="11" t="s">
        <v>161</v>
      </c>
      <c r="B79" s="1" t="s">
        <v>90</v>
      </c>
      <c r="C79" s="2" t="s">
        <v>15</v>
      </c>
      <c r="D79" s="1" t="s">
        <v>16</v>
      </c>
      <c r="E79" s="1" t="s">
        <v>43</v>
      </c>
      <c r="F79" s="2" t="s">
        <v>44</v>
      </c>
      <c r="G79" s="1">
        <v>10</v>
      </c>
      <c r="H79" s="1">
        <f t="shared" si="2"/>
        <v>79531</v>
      </c>
      <c r="I79" s="2">
        <v>795310</v>
      </c>
      <c r="J79" s="6">
        <v>0.2</v>
      </c>
      <c r="K79" s="8">
        <v>636248</v>
      </c>
      <c r="L79" s="2" t="s">
        <v>49</v>
      </c>
      <c r="M79" s="2" t="s">
        <v>38</v>
      </c>
      <c r="N79" s="4">
        <v>45118</v>
      </c>
      <c r="O79" s="3" t="str">
        <f t="shared" si="3"/>
        <v>Jul</v>
      </c>
      <c r="P79" s="13" t="s">
        <v>65</v>
      </c>
    </row>
    <row r="80" spans="1:16" x14ac:dyDescent="0.25">
      <c r="A80" s="10" t="s">
        <v>162</v>
      </c>
      <c r="B80" s="1" t="s">
        <v>92</v>
      </c>
      <c r="C80" s="1" t="s">
        <v>28</v>
      </c>
      <c r="D80" s="1" t="s">
        <v>29</v>
      </c>
      <c r="E80" s="1" t="s">
        <v>43</v>
      </c>
      <c r="F80" s="1" t="s">
        <v>142</v>
      </c>
      <c r="G80" s="1">
        <v>6</v>
      </c>
      <c r="H80" s="1">
        <f t="shared" si="2"/>
        <v>14812</v>
      </c>
      <c r="I80" s="1">
        <v>88872</v>
      </c>
      <c r="J80" s="6">
        <v>0.15000000000000002</v>
      </c>
      <c r="K80" s="7">
        <v>75541.2</v>
      </c>
      <c r="L80" s="1" t="s">
        <v>19</v>
      </c>
      <c r="M80" s="1" t="s">
        <v>20</v>
      </c>
      <c r="N80" s="3">
        <v>44943</v>
      </c>
      <c r="O80" s="3" t="str">
        <f t="shared" si="3"/>
        <v>Jan</v>
      </c>
      <c r="P80" s="12" t="s">
        <v>122</v>
      </c>
    </row>
    <row r="81" spans="1:16" x14ac:dyDescent="0.25">
      <c r="A81" s="11" t="s">
        <v>163</v>
      </c>
      <c r="B81" s="1" t="s">
        <v>34</v>
      </c>
      <c r="C81" s="2" t="s">
        <v>58</v>
      </c>
      <c r="D81" s="1" t="s">
        <v>29</v>
      </c>
      <c r="E81" s="1" t="s">
        <v>24</v>
      </c>
      <c r="F81" s="2" t="s">
        <v>48</v>
      </c>
      <c r="G81" s="1">
        <v>11</v>
      </c>
      <c r="H81" s="1">
        <f t="shared" si="2"/>
        <v>210505</v>
      </c>
      <c r="I81" s="2">
        <v>2315555</v>
      </c>
      <c r="J81" s="6">
        <v>0.1</v>
      </c>
      <c r="K81" s="8">
        <v>2083999.5</v>
      </c>
      <c r="L81" s="2" t="s">
        <v>37</v>
      </c>
      <c r="M81" s="2" t="s">
        <v>20</v>
      </c>
      <c r="N81" s="4">
        <v>45133</v>
      </c>
      <c r="O81" s="3" t="str">
        <f t="shared" si="3"/>
        <v>Jul</v>
      </c>
      <c r="P81" s="13" t="s">
        <v>39</v>
      </c>
    </row>
    <row r="82" spans="1:16" x14ac:dyDescent="0.25">
      <c r="A82" s="10" t="s">
        <v>164</v>
      </c>
      <c r="B82" s="1" t="s">
        <v>53</v>
      </c>
      <c r="C82" s="1" t="s">
        <v>54</v>
      </c>
      <c r="D82" s="1" t="s">
        <v>29</v>
      </c>
      <c r="E82" s="1" t="s">
        <v>24</v>
      </c>
      <c r="F82" s="1" t="s">
        <v>48</v>
      </c>
      <c r="G82" s="1">
        <v>3</v>
      </c>
      <c r="H82" s="1">
        <f t="shared" si="2"/>
        <v>287861</v>
      </c>
      <c r="I82" s="1">
        <v>863583</v>
      </c>
      <c r="J82" s="6">
        <v>0.19999999999999998</v>
      </c>
      <c r="K82" s="7">
        <v>690866.4</v>
      </c>
      <c r="L82" s="1" t="s">
        <v>37</v>
      </c>
      <c r="M82" s="1" t="s">
        <v>20</v>
      </c>
      <c r="N82" s="3">
        <v>44942</v>
      </c>
      <c r="O82" s="3" t="str">
        <f t="shared" si="3"/>
        <v>Jan</v>
      </c>
      <c r="P82" s="12" t="s">
        <v>74</v>
      </c>
    </row>
    <row r="83" spans="1:16" x14ac:dyDescent="0.25">
      <c r="A83" s="11" t="s">
        <v>165</v>
      </c>
      <c r="B83" s="1" t="s">
        <v>62</v>
      </c>
      <c r="C83" s="2" t="s">
        <v>54</v>
      </c>
      <c r="D83" s="1" t="s">
        <v>29</v>
      </c>
      <c r="E83" s="1" t="s">
        <v>43</v>
      </c>
      <c r="F83" s="2" t="s">
        <v>44</v>
      </c>
      <c r="G83" s="1">
        <v>8</v>
      </c>
      <c r="H83" s="1">
        <f t="shared" si="2"/>
        <v>393641</v>
      </c>
      <c r="I83" s="2">
        <v>3149128</v>
      </c>
      <c r="J83" s="6">
        <v>0.20000000000000004</v>
      </c>
      <c r="K83" s="8">
        <v>2519302.4</v>
      </c>
      <c r="L83" s="2" t="s">
        <v>37</v>
      </c>
      <c r="M83" s="2" t="s">
        <v>20</v>
      </c>
      <c r="N83" s="4">
        <v>44942</v>
      </c>
      <c r="O83" s="3" t="str">
        <f t="shared" si="3"/>
        <v>Jan</v>
      </c>
      <c r="P83" s="13" t="s">
        <v>77</v>
      </c>
    </row>
    <row r="84" spans="1:16" x14ac:dyDescent="0.25">
      <c r="A84" s="10" t="s">
        <v>166</v>
      </c>
      <c r="B84" s="1" t="s">
        <v>80</v>
      </c>
      <c r="C84" s="1" t="s">
        <v>51</v>
      </c>
      <c r="D84" s="1" t="s">
        <v>16</v>
      </c>
      <c r="E84" s="1" t="s">
        <v>35</v>
      </c>
      <c r="F84" s="1" t="s">
        <v>68</v>
      </c>
      <c r="G84" s="1">
        <v>17</v>
      </c>
      <c r="H84" s="1">
        <f t="shared" si="2"/>
        <v>40847</v>
      </c>
      <c r="I84" s="1">
        <v>694399</v>
      </c>
      <c r="J84" s="6">
        <v>0.10000000000000003</v>
      </c>
      <c r="K84" s="7">
        <v>624959.1</v>
      </c>
      <c r="L84" s="1" t="s">
        <v>60</v>
      </c>
      <c r="M84" s="1" t="s">
        <v>26</v>
      </c>
      <c r="N84" s="3">
        <v>45243</v>
      </c>
      <c r="O84" s="3" t="str">
        <f t="shared" si="3"/>
        <v>Nov</v>
      </c>
      <c r="P84" s="12" t="s">
        <v>77</v>
      </c>
    </row>
    <row r="85" spans="1:16" x14ac:dyDescent="0.25">
      <c r="A85" s="11" t="s">
        <v>167</v>
      </c>
      <c r="B85" s="1" t="s">
        <v>157</v>
      </c>
      <c r="C85" s="2" t="s">
        <v>15</v>
      </c>
      <c r="D85" s="1" t="s">
        <v>16</v>
      </c>
      <c r="E85" s="1" t="s">
        <v>24</v>
      </c>
      <c r="F85" s="2" t="s">
        <v>71</v>
      </c>
      <c r="G85" s="1">
        <v>9</v>
      </c>
      <c r="H85" s="1">
        <f t="shared" si="2"/>
        <v>26983</v>
      </c>
      <c r="I85" s="2">
        <v>242847</v>
      </c>
      <c r="J85" s="6">
        <v>0.10000000000000005</v>
      </c>
      <c r="K85" s="8">
        <v>218562.3</v>
      </c>
      <c r="L85" s="2" t="s">
        <v>49</v>
      </c>
      <c r="M85" s="2" t="s">
        <v>38</v>
      </c>
      <c r="N85" s="4">
        <v>45120</v>
      </c>
      <c r="O85" s="3" t="str">
        <f t="shared" si="3"/>
        <v>Jul</v>
      </c>
      <c r="P85" s="13" t="s">
        <v>21</v>
      </c>
    </row>
    <row r="86" spans="1:16" x14ac:dyDescent="0.25">
      <c r="A86" s="10" t="s">
        <v>168</v>
      </c>
      <c r="B86" s="1" t="s">
        <v>76</v>
      </c>
      <c r="C86" s="1" t="s">
        <v>58</v>
      </c>
      <c r="D86" s="1" t="s">
        <v>29</v>
      </c>
      <c r="E86" s="1" t="s">
        <v>30</v>
      </c>
      <c r="F86" s="1" t="s">
        <v>59</v>
      </c>
      <c r="G86" s="1">
        <v>14</v>
      </c>
      <c r="H86" s="1">
        <f t="shared" si="2"/>
        <v>364045</v>
      </c>
      <c r="I86" s="1">
        <v>5096630</v>
      </c>
      <c r="J86" s="6">
        <v>0.05</v>
      </c>
      <c r="K86" s="7">
        <v>4841798.5</v>
      </c>
      <c r="L86" s="1" t="s">
        <v>60</v>
      </c>
      <c r="M86" s="1" t="s">
        <v>26</v>
      </c>
      <c r="N86" s="3">
        <v>45044</v>
      </c>
      <c r="O86" s="3" t="str">
        <f t="shared" si="3"/>
        <v>Apr</v>
      </c>
      <c r="P86" s="12" t="s">
        <v>122</v>
      </c>
    </row>
    <row r="87" spans="1:16" x14ac:dyDescent="0.25">
      <c r="A87" s="11" t="s">
        <v>169</v>
      </c>
      <c r="B87" s="1" t="s">
        <v>90</v>
      </c>
      <c r="C87" s="2" t="s">
        <v>63</v>
      </c>
      <c r="D87" s="1" t="s">
        <v>29</v>
      </c>
      <c r="E87" s="1" t="s">
        <v>35</v>
      </c>
      <c r="F87" s="2" t="s">
        <v>108</v>
      </c>
      <c r="G87" s="1">
        <v>13</v>
      </c>
      <c r="H87" s="1">
        <f t="shared" si="2"/>
        <v>324538</v>
      </c>
      <c r="I87" s="2">
        <v>4218994</v>
      </c>
      <c r="J87" s="6">
        <v>0.19999999999999996</v>
      </c>
      <c r="K87" s="8">
        <v>3375195.2</v>
      </c>
      <c r="L87" s="2" t="s">
        <v>37</v>
      </c>
      <c r="M87" s="2" t="s">
        <v>20</v>
      </c>
      <c r="N87" s="4">
        <v>45280</v>
      </c>
      <c r="O87" s="3" t="str">
        <f t="shared" si="3"/>
        <v>Dec</v>
      </c>
      <c r="P87" s="13" t="s">
        <v>32</v>
      </c>
    </row>
    <row r="88" spans="1:16" x14ac:dyDescent="0.25">
      <c r="A88" s="10" t="s">
        <v>170</v>
      </c>
      <c r="B88" s="1" t="s">
        <v>103</v>
      </c>
      <c r="C88" s="1" t="s">
        <v>81</v>
      </c>
      <c r="D88" s="1" t="s">
        <v>29</v>
      </c>
      <c r="E88" s="1" t="s">
        <v>24</v>
      </c>
      <c r="F88" s="1" t="s">
        <v>48</v>
      </c>
      <c r="G88" s="1">
        <v>5</v>
      </c>
      <c r="H88" s="1">
        <f t="shared" si="2"/>
        <v>44862</v>
      </c>
      <c r="I88" s="1">
        <v>224310</v>
      </c>
      <c r="J88" s="6">
        <v>0.05</v>
      </c>
      <c r="K88" s="7">
        <v>213094.5</v>
      </c>
      <c r="L88" s="1" t="s">
        <v>60</v>
      </c>
      <c r="M88" s="1" t="s">
        <v>20</v>
      </c>
      <c r="N88" s="3">
        <f>N87</f>
        <v>45280</v>
      </c>
      <c r="O88" s="3" t="str">
        <f t="shared" si="3"/>
        <v>Dec</v>
      </c>
      <c r="P88" s="12" t="s">
        <v>55</v>
      </c>
    </row>
    <row r="89" spans="1:16" x14ac:dyDescent="0.25">
      <c r="A89" s="11" t="s">
        <v>171</v>
      </c>
      <c r="B89" s="1" t="s">
        <v>67</v>
      </c>
      <c r="C89" s="2" t="s">
        <v>42</v>
      </c>
      <c r="D89" s="1" t="s">
        <v>29</v>
      </c>
      <c r="E89" s="1" t="s">
        <v>24</v>
      </c>
      <c r="F89" s="2" t="s">
        <v>48</v>
      </c>
      <c r="G89" s="1">
        <v>6</v>
      </c>
      <c r="H89" s="1">
        <f t="shared" si="2"/>
        <v>48383</v>
      </c>
      <c r="I89" s="2">
        <v>290298</v>
      </c>
      <c r="J89" s="6">
        <v>0.2</v>
      </c>
      <c r="K89" s="8">
        <v>232238.4</v>
      </c>
      <c r="L89" s="2" t="s">
        <v>60</v>
      </c>
      <c r="M89" s="2" t="s">
        <v>26</v>
      </c>
      <c r="N89" s="4">
        <v>45088</v>
      </c>
      <c r="O89" s="3" t="str">
        <f t="shared" si="3"/>
        <v>Jun</v>
      </c>
      <c r="P89" s="13" t="s">
        <v>21</v>
      </c>
    </row>
    <row r="90" spans="1:16" x14ac:dyDescent="0.25">
      <c r="A90" s="10" t="s">
        <v>172</v>
      </c>
      <c r="B90" s="1" t="s">
        <v>53</v>
      </c>
      <c r="C90" s="1" t="s">
        <v>70</v>
      </c>
      <c r="D90" s="1" t="s">
        <v>16</v>
      </c>
      <c r="E90" s="1" t="s">
        <v>30</v>
      </c>
      <c r="F90" s="1" t="s">
        <v>125</v>
      </c>
      <c r="G90" s="1">
        <v>18</v>
      </c>
      <c r="H90" s="1">
        <f t="shared" si="2"/>
        <v>27645</v>
      </c>
      <c r="I90" s="1">
        <v>497610</v>
      </c>
      <c r="J90" s="6">
        <v>0.15</v>
      </c>
      <c r="K90" s="7">
        <v>422968.5</v>
      </c>
      <c r="L90" s="1" t="s">
        <v>49</v>
      </c>
      <c r="M90" s="1" t="s">
        <v>64</v>
      </c>
      <c r="N90" s="3">
        <v>45112</v>
      </c>
      <c r="O90" s="3" t="str">
        <f t="shared" si="3"/>
        <v>Jul</v>
      </c>
      <c r="P90" s="12" t="s">
        <v>39</v>
      </c>
    </row>
    <row r="91" spans="1:16" x14ac:dyDescent="0.25">
      <c r="A91" s="11" t="s">
        <v>173</v>
      </c>
      <c r="B91" s="1" t="s">
        <v>57</v>
      </c>
      <c r="C91" s="2" t="s">
        <v>51</v>
      </c>
      <c r="D91" s="1" t="s">
        <v>16</v>
      </c>
      <c r="E91" s="1" t="s">
        <v>24</v>
      </c>
      <c r="F91" s="2" t="s">
        <v>48</v>
      </c>
      <c r="G91" s="1">
        <v>2</v>
      </c>
      <c r="H91" s="1">
        <f t="shared" si="2"/>
        <v>62850</v>
      </c>
      <c r="I91" s="2">
        <v>125700</v>
      </c>
      <c r="J91" s="6">
        <v>0.2</v>
      </c>
      <c r="K91" s="8">
        <v>100560</v>
      </c>
      <c r="L91" s="2" t="s">
        <v>49</v>
      </c>
      <c r="M91" s="2" t="s">
        <v>38</v>
      </c>
      <c r="N91" s="4">
        <v>45074</v>
      </c>
      <c r="O91" s="3" t="str">
        <f t="shared" si="3"/>
        <v>May</v>
      </c>
      <c r="P91" s="13" t="s">
        <v>39</v>
      </c>
    </row>
    <row r="92" spans="1:16" x14ac:dyDescent="0.25">
      <c r="A92" s="10" t="s">
        <v>174</v>
      </c>
      <c r="B92" s="1" t="s">
        <v>80</v>
      </c>
      <c r="C92" s="1" t="s">
        <v>81</v>
      </c>
      <c r="D92" s="1" t="s">
        <v>29</v>
      </c>
      <c r="E92" s="1" t="s">
        <v>24</v>
      </c>
      <c r="F92" s="1" t="s">
        <v>71</v>
      </c>
      <c r="G92" s="1">
        <v>5</v>
      </c>
      <c r="H92" s="1">
        <f t="shared" si="2"/>
        <v>56688</v>
      </c>
      <c r="I92" s="1">
        <v>283440</v>
      </c>
      <c r="J92" s="6">
        <v>0</v>
      </c>
      <c r="K92" s="7">
        <v>283440</v>
      </c>
      <c r="L92" s="1" t="s">
        <v>49</v>
      </c>
      <c r="M92" s="1" t="s">
        <v>26</v>
      </c>
      <c r="N92" s="3">
        <v>45057</v>
      </c>
      <c r="O92" s="3" t="str">
        <f t="shared" si="3"/>
        <v>May</v>
      </c>
      <c r="P92" s="12" t="s">
        <v>122</v>
      </c>
    </row>
    <row r="93" spans="1:16" x14ac:dyDescent="0.25">
      <c r="A93" s="11" t="s">
        <v>175</v>
      </c>
      <c r="B93" s="1" t="s">
        <v>92</v>
      </c>
      <c r="C93" s="2" t="s">
        <v>81</v>
      </c>
      <c r="D93" s="1" t="s">
        <v>29</v>
      </c>
      <c r="E93" s="1" t="s">
        <v>17</v>
      </c>
      <c r="F93" s="2" t="s">
        <v>18</v>
      </c>
      <c r="G93" s="1">
        <v>1</v>
      </c>
      <c r="H93" s="1">
        <f t="shared" si="2"/>
        <v>69694</v>
      </c>
      <c r="I93" s="2">
        <v>69694</v>
      </c>
      <c r="J93" s="6">
        <v>4.9999999999999961E-2</v>
      </c>
      <c r="K93" s="8">
        <v>66209.3</v>
      </c>
      <c r="L93" s="2" t="s">
        <v>19</v>
      </c>
      <c r="M93" s="2" t="s">
        <v>26</v>
      </c>
      <c r="N93" s="4">
        <v>45092</v>
      </c>
      <c r="O93" s="3" t="str">
        <f t="shared" si="3"/>
        <v>Jun</v>
      </c>
      <c r="P93" s="13" t="s">
        <v>39</v>
      </c>
    </row>
    <row r="94" spans="1:16" x14ac:dyDescent="0.25">
      <c r="A94" s="10" t="s">
        <v>176</v>
      </c>
      <c r="B94" s="1" t="s">
        <v>57</v>
      </c>
      <c r="C94" s="1" t="s">
        <v>42</v>
      </c>
      <c r="D94" s="1" t="s">
        <v>29</v>
      </c>
      <c r="E94" s="1" t="s">
        <v>30</v>
      </c>
      <c r="F94" s="1" t="s">
        <v>31</v>
      </c>
      <c r="G94" s="1">
        <v>10</v>
      </c>
      <c r="H94" s="1">
        <f t="shared" si="2"/>
        <v>32607</v>
      </c>
      <c r="I94" s="1">
        <v>326070</v>
      </c>
      <c r="J94" s="6">
        <v>0.1</v>
      </c>
      <c r="K94" s="7">
        <v>293463</v>
      </c>
      <c r="L94" s="1" t="s">
        <v>19</v>
      </c>
      <c r="M94" s="1" t="s">
        <v>26</v>
      </c>
      <c r="N94" s="3">
        <v>45074</v>
      </c>
      <c r="O94" s="3" t="str">
        <f t="shared" si="3"/>
        <v>May</v>
      </c>
      <c r="P94" s="12" t="s">
        <v>39</v>
      </c>
    </row>
    <row r="95" spans="1:16" x14ac:dyDescent="0.25">
      <c r="A95" s="11" t="s">
        <v>177</v>
      </c>
      <c r="B95" s="1" t="s">
        <v>702</v>
      </c>
      <c r="C95" s="2" t="s">
        <v>58</v>
      </c>
      <c r="D95" s="1" t="s">
        <v>29</v>
      </c>
      <c r="E95" s="1" t="s">
        <v>24</v>
      </c>
      <c r="F95" s="2" t="s">
        <v>48</v>
      </c>
      <c r="G95" s="1">
        <v>16</v>
      </c>
      <c r="H95" s="1">
        <f t="shared" si="2"/>
        <v>220359</v>
      </c>
      <c r="I95" s="2">
        <v>3525744</v>
      </c>
      <c r="J95" s="6">
        <v>0.19999999999999996</v>
      </c>
      <c r="K95" s="8">
        <v>2820595.2</v>
      </c>
      <c r="L95" s="2" t="s">
        <v>60</v>
      </c>
      <c r="M95" s="2" t="s">
        <v>64</v>
      </c>
      <c r="N95" s="4">
        <v>45083</v>
      </c>
      <c r="O95" s="3" t="str">
        <f t="shared" si="3"/>
        <v>Jun</v>
      </c>
      <c r="P95" s="13" t="s">
        <v>83</v>
      </c>
    </row>
    <row r="96" spans="1:16" x14ac:dyDescent="0.25">
      <c r="A96" s="10" t="s">
        <v>178</v>
      </c>
      <c r="B96" s="1" t="s">
        <v>90</v>
      </c>
      <c r="C96" s="1" t="s">
        <v>54</v>
      </c>
      <c r="D96" s="1" t="s">
        <v>29</v>
      </c>
      <c r="E96" s="1" t="s">
        <v>43</v>
      </c>
      <c r="F96" s="1" t="s">
        <v>98</v>
      </c>
      <c r="G96" s="1">
        <v>4</v>
      </c>
      <c r="H96" s="1">
        <f t="shared" si="2"/>
        <v>223283</v>
      </c>
      <c r="I96" s="1">
        <v>893132</v>
      </c>
      <c r="J96" s="6">
        <v>0</v>
      </c>
      <c r="K96" s="7">
        <v>893132</v>
      </c>
      <c r="L96" s="1" t="s">
        <v>37</v>
      </c>
      <c r="M96" s="1" t="s">
        <v>64</v>
      </c>
      <c r="N96" s="3">
        <v>45140</v>
      </c>
      <c r="O96" s="3" t="str">
        <f t="shared" si="3"/>
        <v>Aug</v>
      </c>
      <c r="P96" s="12" t="s">
        <v>32</v>
      </c>
    </row>
    <row r="97" spans="1:16" x14ac:dyDescent="0.25">
      <c r="A97" s="11" t="s">
        <v>179</v>
      </c>
      <c r="B97" s="1" t="s">
        <v>80</v>
      </c>
      <c r="C97" s="2" t="s">
        <v>51</v>
      </c>
      <c r="D97" s="1" t="s">
        <v>16</v>
      </c>
      <c r="E97" s="1" t="s">
        <v>30</v>
      </c>
      <c r="F97" s="2" t="s">
        <v>31</v>
      </c>
      <c r="G97" s="1">
        <v>19</v>
      </c>
      <c r="H97" s="1">
        <f t="shared" si="2"/>
        <v>8697</v>
      </c>
      <c r="I97" s="2">
        <v>165243</v>
      </c>
      <c r="J97" s="6">
        <v>9.9999999999999936E-2</v>
      </c>
      <c r="K97" s="8">
        <v>148718.70000000001</v>
      </c>
      <c r="L97" s="2" t="s">
        <v>60</v>
      </c>
      <c r="M97" s="2" t="s">
        <v>38</v>
      </c>
      <c r="N97" s="4">
        <v>45156</v>
      </c>
      <c r="O97" s="3" t="str">
        <f t="shared" si="3"/>
        <v>Aug</v>
      </c>
      <c r="P97" s="13" t="s">
        <v>65</v>
      </c>
    </row>
    <row r="98" spans="1:16" x14ac:dyDescent="0.25">
      <c r="A98" s="10" t="s">
        <v>180</v>
      </c>
      <c r="B98" s="1" t="s">
        <v>90</v>
      </c>
      <c r="C98" s="1" t="s">
        <v>70</v>
      </c>
      <c r="D98" s="1" t="s">
        <v>16</v>
      </c>
      <c r="E98" s="1" t="s">
        <v>17</v>
      </c>
      <c r="F98" s="1" t="s">
        <v>82</v>
      </c>
      <c r="G98" s="1">
        <v>3</v>
      </c>
      <c r="H98" s="1">
        <f t="shared" si="2"/>
        <v>70639</v>
      </c>
      <c r="I98" s="1">
        <v>211917</v>
      </c>
      <c r="J98" s="6">
        <v>0.10000000000000006</v>
      </c>
      <c r="K98" s="7">
        <v>190725.3</v>
      </c>
      <c r="L98" s="1" t="s">
        <v>37</v>
      </c>
      <c r="M98" s="1" t="s">
        <v>38</v>
      </c>
      <c r="N98" s="3">
        <v>45232</v>
      </c>
      <c r="O98" s="3" t="str">
        <f t="shared" si="3"/>
        <v>Nov</v>
      </c>
      <c r="P98" s="12" t="s">
        <v>74</v>
      </c>
    </row>
    <row r="99" spans="1:16" x14ac:dyDescent="0.25">
      <c r="A99" s="11" t="s">
        <v>181</v>
      </c>
      <c r="B99" s="1" t="s">
        <v>90</v>
      </c>
      <c r="C99" s="2" t="s">
        <v>15</v>
      </c>
      <c r="D99" s="1" t="s">
        <v>16</v>
      </c>
      <c r="E99" s="1" t="s">
        <v>35</v>
      </c>
      <c r="F99" s="2" t="s">
        <v>36</v>
      </c>
      <c r="G99" s="1">
        <v>10</v>
      </c>
      <c r="H99" s="1">
        <f t="shared" si="2"/>
        <v>62342</v>
      </c>
      <c r="I99" s="2">
        <v>623420</v>
      </c>
      <c r="J99" s="6">
        <v>0.05</v>
      </c>
      <c r="K99" s="8">
        <v>592249</v>
      </c>
      <c r="L99" s="2" t="s">
        <v>49</v>
      </c>
      <c r="M99" s="2" t="s">
        <v>26</v>
      </c>
      <c r="N99" s="4">
        <v>44972</v>
      </c>
      <c r="O99" s="3" t="str">
        <f t="shared" si="3"/>
        <v>Feb</v>
      </c>
      <c r="P99" s="13" t="s">
        <v>74</v>
      </c>
    </row>
    <row r="100" spans="1:16" x14ac:dyDescent="0.25">
      <c r="A100" s="10" t="s">
        <v>182</v>
      </c>
      <c r="B100" s="1" t="s">
        <v>95</v>
      </c>
      <c r="C100" s="1" t="s">
        <v>42</v>
      </c>
      <c r="D100" s="1" t="s">
        <v>29</v>
      </c>
      <c r="E100" s="1" t="s">
        <v>35</v>
      </c>
      <c r="F100" s="1" t="s">
        <v>48</v>
      </c>
      <c r="G100" s="1">
        <v>14</v>
      </c>
      <c r="H100" s="1">
        <f t="shared" si="2"/>
        <v>56773</v>
      </c>
      <c r="I100" s="1">
        <v>794822</v>
      </c>
      <c r="J100" s="6">
        <v>0.15000000000000005</v>
      </c>
      <c r="K100" s="7">
        <v>675598.7</v>
      </c>
      <c r="L100" s="1" t="s">
        <v>37</v>
      </c>
      <c r="M100" s="1" t="s">
        <v>38</v>
      </c>
      <c r="N100" s="3">
        <v>45113</v>
      </c>
      <c r="O100" s="3" t="str">
        <f t="shared" si="3"/>
        <v>Jul</v>
      </c>
      <c r="P100" s="12" t="s">
        <v>21</v>
      </c>
    </row>
    <row r="101" spans="1:16" x14ac:dyDescent="0.25">
      <c r="A101" s="11" t="s">
        <v>183</v>
      </c>
      <c r="B101" s="1" t="s">
        <v>95</v>
      </c>
      <c r="C101" s="2" t="s">
        <v>47</v>
      </c>
      <c r="D101" s="1" t="s">
        <v>16</v>
      </c>
      <c r="E101" s="1" t="s">
        <v>43</v>
      </c>
      <c r="F101" s="2" t="s">
        <v>98</v>
      </c>
      <c r="G101" s="1">
        <v>20</v>
      </c>
      <c r="H101" s="1">
        <f t="shared" si="2"/>
        <v>14307</v>
      </c>
      <c r="I101" s="2">
        <v>286140</v>
      </c>
      <c r="J101" s="6">
        <v>0.2</v>
      </c>
      <c r="K101" s="8">
        <v>228912</v>
      </c>
      <c r="L101" s="2" t="s">
        <v>19</v>
      </c>
      <c r="M101" s="2" t="s">
        <v>38</v>
      </c>
      <c r="N101" s="4">
        <v>45135</v>
      </c>
      <c r="O101" s="3" t="str">
        <f t="shared" si="3"/>
        <v>Jul</v>
      </c>
      <c r="P101" s="13" t="s">
        <v>74</v>
      </c>
    </row>
    <row r="102" spans="1:16" x14ac:dyDescent="0.25">
      <c r="A102" s="10" t="s">
        <v>184</v>
      </c>
      <c r="B102" s="1" t="s">
        <v>95</v>
      </c>
      <c r="C102" s="1" t="s">
        <v>70</v>
      </c>
      <c r="D102" s="1" t="s">
        <v>29</v>
      </c>
      <c r="E102" s="1" t="s">
        <v>24</v>
      </c>
      <c r="F102" s="1" t="s">
        <v>48</v>
      </c>
      <c r="G102" s="1">
        <v>5</v>
      </c>
      <c r="H102" s="1">
        <f t="shared" si="2"/>
        <v>34188</v>
      </c>
      <c r="I102" s="1">
        <v>170940</v>
      </c>
      <c r="J102" s="6">
        <v>0</v>
      </c>
      <c r="K102" s="7">
        <v>170940</v>
      </c>
      <c r="L102" s="1" t="s">
        <v>37</v>
      </c>
      <c r="M102" s="1" t="s">
        <v>26</v>
      </c>
      <c r="N102" s="3">
        <v>45182</v>
      </c>
      <c r="O102" s="3" t="str">
        <f t="shared" si="3"/>
        <v>Sep</v>
      </c>
      <c r="P102" s="12" t="s">
        <v>122</v>
      </c>
    </row>
    <row r="103" spans="1:16" x14ac:dyDescent="0.25">
      <c r="A103" s="11" t="s">
        <v>185</v>
      </c>
      <c r="B103" s="1" t="s">
        <v>34</v>
      </c>
      <c r="C103" s="2" t="s">
        <v>47</v>
      </c>
      <c r="D103" s="1" t="s">
        <v>16</v>
      </c>
      <c r="E103" s="1" t="s">
        <v>17</v>
      </c>
      <c r="F103" s="2" t="s">
        <v>125</v>
      </c>
      <c r="G103" s="1">
        <v>14</v>
      </c>
      <c r="H103" s="1">
        <f t="shared" si="2"/>
        <v>51281</v>
      </c>
      <c r="I103" s="2">
        <v>717934</v>
      </c>
      <c r="J103" s="6">
        <v>0.20000000000000007</v>
      </c>
      <c r="K103" s="8">
        <v>574347.19999999995</v>
      </c>
      <c r="L103" s="2" t="s">
        <v>19</v>
      </c>
      <c r="M103" s="2" t="s">
        <v>38</v>
      </c>
      <c r="N103" s="4">
        <v>44990</v>
      </c>
      <c r="O103" s="3" t="str">
        <f t="shared" si="3"/>
        <v>Mar</v>
      </c>
      <c r="P103" s="13" t="s">
        <v>45</v>
      </c>
    </row>
    <row r="104" spans="1:16" x14ac:dyDescent="0.25">
      <c r="A104" s="10" t="s">
        <v>186</v>
      </c>
      <c r="B104" s="1" t="s">
        <v>67</v>
      </c>
      <c r="C104" s="1" t="s">
        <v>63</v>
      </c>
      <c r="D104" s="1" t="s">
        <v>29</v>
      </c>
      <c r="E104" s="1" t="s">
        <v>43</v>
      </c>
      <c r="F104" s="1" t="s">
        <v>98</v>
      </c>
      <c r="G104" s="1">
        <v>16</v>
      </c>
      <c r="H104" s="1">
        <f t="shared" si="2"/>
        <v>307082</v>
      </c>
      <c r="I104" s="1">
        <v>4913312</v>
      </c>
      <c r="J104" s="6">
        <v>0</v>
      </c>
      <c r="K104" s="7">
        <v>4913312</v>
      </c>
      <c r="L104" s="1" t="s">
        <v>60</v>
      </c>
      <c r="M104" s="1" t="s">
        <v>64</v>
      </c>
      <c r="N104" s="3">
        <v>45181</v>
      </c>
      <c r="O104" s="3" t="str">
        <f t="shared" si="3"/>
        <v>Sep</v>
      </c>
      <c r="P104" s="12" t="s">
        <v>122</v>
      </c>
    </row>
    <row r="105" spans="1:16" x14ac:dyDescent="0.25">
      <c r="A105" s="11" t="s">
        <v>187</v>
      </c>
      <c r="B105" s="1" t="s">
        <v>95</v>
      </c>
      <c r="C105" s="2" t="s">
        <v>15</v>
      </c>
      <c r="D105" s="1" t="s">
        <v>16</v>
      </c>
      <c r="E105" s="1" t="s">
        <v>30</v>
      </c>
      <c r="F105" s="2" t="s">
        <v>18</v>
      </c>
      <c r="G105" s="1">
        <v>19</v>
      </c>
      <c r="H105" s="1">
        <f t="shared" si="2"/>
        <v>24525</v>
      </c>
      <c r="I105" s="2">
        <v>465975</v>
      </c>
      <c r="J105" s="6">
        <v>0.2</v>
      </c>
      <c r="K105" s="8">
        <v>372780</v>
      </c>
      <c r="L105" s="2" t="s">
        <v>49</v>
      </c>
      <c r="M105" s="2" t="s">
        <v>64</v>
      </c>
      <c r="N105" s="4">
        <v>45162</v>
      </c>
      <c r="O105" s="3" t="str">
        <f t="shared" si="3"/>
        <v>Aug</v>
      </c>
      <c r="P105" s="13" t="s">
        <v>32</v>
      </c>
    </row>
    <row r="106" spans="1:16" x14ac:dyDescent="0.25">
      <c r="A106" s="10" t="s">
        <v>188</v>
      </c>
      <c r="B106" s="1" t="s">
        <v>702</v>
      </c>
      <c r="C106" s="1" t="s">
        <v>54</v>
      </c>
      <c r="D106" s="1" t="s">
        <v>29</v>
      </c>
      <c r="E106" s="1" t="s">
        <v>30</v>
      </c>
      <c r="F106" s="1" t="s">
        <v>31</v>
      </c>
      <c r="G106" s="1">
        <v>15</v>
      </c>
      <c r="H106" s="1">
        <f t="shared" si="2"/>
        <v>227925</v>
      </c>
      <c r="I106" s="1">
        <v>3418875</v>
      </c>
      <c r="J106" s="6">
        <v>0</v>
      </c>
      <c r="K106" s="7">
        <v>3418875</v>
      </c>
      <c r="L106" s="1" t="s">
        <v>60</v>
      </c>
      <c r="M106" s="1" t="s">
        <v>20</v>
      </c>
      <c r="N106" s="3">
        <v>45152</v>
      </c>
      <c r="O106" s="3" t="str">
        <f t="shared" si="3"/>
        <v>Aug</v>
      </c>
      <c r="P106" s="12" t="s">
        <v>32</v>
      </c>
    </row>
    <row r="107" spans="1:16" x14ac:dyDescent="0.25">
      <c r="A107" s="11" t="s">
        <v>189</v>
      </c>
      <c r="B107" s="1" t="s">
        <v>76</v>
      </c>
      <c r="C107" s="2" t="s">
        <v>81</v>
      </c>
      <c r="D107" s="1" t="s">
        <v>29</v>
      </c>
      <c r="E107" s="1" t="s">
        <v>35</v>
      </c>
      <c r="F107" s="2" t="s">
        <v>68</v>
      </c>
      <c r="G107" s="1">
        <v>20</v>
      </c>
      <c r="H107" s="1">
        <f t="shared" si="2"/>
        <v>36365</v>
      </c>
      <c r="I107" s="2">
        <v>727300</v>
      </c>
      <c r="J107" s="6">
        <v>0.05</v>
      </c>
      <c r="K107" s="8">
        <v>690935</v>
      </c>
      <c r="L107" s="2" t="s">
        <v>49</v>
      </c>
      <c r="M107" s="2" t="s">
        <v>26</v>
      </c>
      <c r="N107" s="4">
        <v>45140</v>
      </c>
      <c r="O107" s="3" t="str">
        <f t="shared" si="3"/>
        <v>Aug</v>
      </c>
      <c r="P107" s="13" t="s">
        <v>55</v>
      </c>
    </row>
    <row r="108" spans="1:16" x14ac:dyDescent="0.25">
      <c r="A108" s="10" t="s">
        <v>190</v>
      </c>
      <c r="B108" s="1" t="s">
        <v>103</v>
      </c>
      <c r="C108" s="1" t="s">
        <v>15</v>
      </c>
      <c r="D108" s="1" t="s">
        <v>16</v>
      </c>
      <c r="E108" s="1" t="s">
        <v>17</v>
      </c>
      <c r="F108" s="1" t="s">
        <v>73</v>
      </c>
      <c r="G108" s="1">
        <v>13</v>
      </c>
      <c r="H108" s="1">
        <f t="shared" si="2"/>
        <v>15084</v>
      </c>
      <c r="I108" s="1">
        <v>196092</v>
      </c>
      <c r="J108" s="6">
        <v>0.10000000000000006</v>
      </c>
      <c r="K108" s="7">
        <v>176482.8</v>
      </c>
      <c r="L108" s="1" t="s">
        <v>60</v>
      </c>
      <c r="M108" s="1" t="s">
        <v>26</v>
      </c>
      <c r="N108" s="3">
        <v>45248</v>
      </c>
      <c r="O108" s="3" t="str">
        <f t="shared" si="3"/>
        <v>Nov</v>
      </c>
      <c r="P108" s="12" t="s">
        <v>77</v>
      </c>
    </row>
    <row r="109" spans="1:16" x14ac:dyDescent="0.25">
      <c r="A109" s="11" t="s">
        <v>191</v>
      </c>
      <c r="B109" s="1" t="s">
        <v>90</v>
      </c>
      <c r="C109" s="2" t="s">
        <v>63</v>
      </c>
      <c r="D109" s="1" t="s">
        <v>29</v>
      </c>
      <c r="E109" s="1" t="s">
        <v>24</v>
      </c>
      <c r="F109" s="2" t="s">
        <v>48</v>
      </c>
      <c r="G109" s="1">
        <v>3</v>
      </c>
      <c r="H109" s="1">
        <f t="shared" si="2"/>
        <v>1300486.6666666667</v>
      </c>
      <c r="I109" s="2">
        <v>3901460</v>
      </c>
      <c r="J109" s="6">
        <v>0</v>
      </c>
      <c r="K109" s="8">
        <v>3901460</v>
      </c>
      <c r="L109" s="2" t="s">
        <v>37</v>
      </c>
      <c r="M109" s="2" t="s">
        <v>26</v>
      </c>
      <c r="N109" s="4">
        <v>45027</v>
      </c>
      <c r="O109" s="3" t="str">
        <f t="shared" si="3"/>
        <v>Apr</v>
      </c>
      <c r="P109" s="13" t="s">
        <v>83</v>
      </c>
    </row>
    <row r="110" spans="1:16" x14ac:dyDescent="0.25">
      <c r="A110" s="10" t="s">
        <v>192</v>
      </c>
      <c r="B110" s="1" t="s">
        <v>80</v>
      </c>
      <c r="C110" s="1" t="s">
        <v>70</v>
      </c>
      <c r="D110" s="1" t="s">
        <v>16</v>
      </c>
      <c r="E110" s="1" t="s">
        <v>43</v>
      </c>
      <c r="F110" s="1" t="s">
        <v>98</v>
      </c>
      <c r="G110" s="1">
        <v>1</v>
      </c>
      <c r="H110" s="1">
        <f t="shared" si="2"/>
        <v>30863</v>
      </c>
      <c r="I110" s="1">
        <v>30863</v>
      </c>
      <c r="J110" s="6">
        <v>0.15000000000000002</v>
      </c>
      <c r="K110" s="7">
        <v>26233.55</v>
      </c>
      <c r="L110" s="1" t="s">
        <v>37</v>
      </c>
      <c r="M110" s="1" t="s">
        <v>64</v>
      </c>
      <c r="N110" s="3">
        <v>45119</v>
      </c>
      <c r="O110" s="3" t="str">
        <f t="shared" si="3"/>
        <v>Jul</v>
      </c>
      <c r="P110" s="12" t="s">
        <v>122</v>
      </c>
    </row>
    <row r="111" spans="1:16" x14ac:dyDescent="0.25">
      <c r="A111" s="11" t="s">
        <v>193</v>
      </c>
      <c r="B111" s="1" t="s">
        <v>34</v>
      </c>
      <c r="C111" s="2" t="s">
        <v>63</v>
      </c>
      <c r="D111" s="1" t="s">
        <v>29</v>
      </c>
      <c r="E111" s="1" t="s">
        <v>35</v>
      </c>
      <c r="F111" s="2" t="s">
        <v>68</v>
      </c>
      <c r="G111" s="1">
        <v>3</v>
      </c>
      <c r="H111" s="1">
        <f t="shared" si="2"/>
        <v>438144</v>
      </c>
      <c r="I111" s="2">
        <v>1314432</v>
      </c>
      <c r="J111" s="6">
        <v>9.9999999999999964E-2</v>
      </c>
      <c r="K111" s="8">
        <v>1182988.8</v>
      </c>
      <c r="L111" s="2" t="s">
        <v>19</v>
      </c>
      <c r="M111" s="2" t="s">
        <v>20</v>
      </c>
      <c r="N111" s="4">
        <v>45143</v>
      </c>
      <c r="O111" s="3" t="str">
        <f t="shared" si="3"/>
        <v>Aug</v>
      </c>
      <c r="P111" s="13" t="s">
        <v>74</v>
      </c>
    </row>
    <row r="112" spans="1:16" x14ac:dyDescent="0.25">
      <c r="A112" s="10" t="s">
        <v>194</v>
      </c>
      <c r="B112" s="1" t="s">
        <v>114</v>
      </c>
      <c r="C112" s="1" t="s">
        <v>47</v>
      </c>
      <c r="D112" s="1" t="s">
        <v>16</v>
      </c>
      <c r="E112" s="1" t="s">
        <v>43</v>
      </c>
      <c r="F112" s="1" t="s">
        <v>98</v>
      </c>
      <c r="G112" s="1">
        <v>8</v>
      </c>
      <c r="H112" s="1">
        <f t="shared" si="2"/>
        <v>45135</v>
      </c>
      <c r="I112" s="1">
        <v>361080</v>
      </c>
      <c r="J112" s="6">
        <v>0.2</v>
      </c>
      <c r="K112" s="7">
        <v>288864</v>
      </c>
      <c r="L112" s="1" t="s">
        <v>19</v>
      </c>
      <c r="M112" s="1" t="s">
        <v>26</v>
      </c>
      <c r="N112" s="3">
        <v>45278</v>
      </c>
      <c r="O112" s="3" t="str">
        <f t="shared" si="3"/>
        <v>Dec</v>
      </c>
      <c r="P112" s="12" t="s">
        <v>77</v>
      </c>
    </row>
    <row r="113" spans="1:16" x14ac:dyDescent="0.25">
      <c r="A113" s="11" t="s">
        <v>195</v>
      </c>
      <c r="B113" s="1" t="s">
        <v>101</v>
      </c>
      <c r="C113" s="2" t="s">
        <v>15</v>
      </c>
      <c r="D113" s="1" t="s">
        <v>16</v>
      </c>
      <c r="E113" s="1" t="s">
        <v>43</v>
      </c>
      <c r="F113" s="2" t="s">
        <v>98</v>
      </c>
      <c r="G113" s="1">
        <v>11</v>
      </c>
      <c r="H113" s="1">
        <f t="shared" si="2"/>
        <v>55173</v>
      </c>
      <c r="I113" s="2">
        <v>606903</v>
      </c>
      <c r="J113" s="6">
        <v>0.15000000000000002</v>
      </c>
      <c r="K113" s="8">
        <v>515867.55</v>
      </c>
      <c r="L113" s="2" t="s">
        <v>60</v>
      </c>
      <c r="M113" s="2" t="s">
        <v>38</v>
      </c>
      <c r="N113" s="4">
        <v>45054</v>
      </c>
      <c r="O113" s="3" t="str">
        <f t="shared" si="3"/>
        <v>May</v>
      </c>
      <c r="P113" s="13" t="s">
        <v>122</v>
      </c>
    </row>
    <row r="114" spans="1:16" x14ac:dyDescent="0.25">
      <c r="A114" s="10" t="s">
        <v>196</v>
      </c>
      <c r="B114" s="1" t="s">
        <v>76</v>
      </c>
      <c r="C114" s="1" t="s">
        <v>28</v>
      </c>
      <c r="D114" s="1" t="s">
        <v>29</v>
      </c>
      <c r="E114" s="1" t="s">
        <v>30</v>
      </c>
      <c r="F114" s="1" t="s">
        <v>31</v>
      </c>
      <c r="G114" s="1">
        <v>2</v>
      </c>
      <c r="H114" s="1">
        <f t="shared" si="2"/>
        <v>35340</v>
      </c>
      <c r="I114" s="1">
        <v>70680</v>
      </c>
      <c r="J114" s="6">
        <v>0.1</v>
      </c>
      <c r="K114" s="7">
        <v>63612</v>
      </c>
      <c r="L114" s="1" t="s">
        <v>37</v>
      </c>
      <c r="M114" s="1" t="s">
        <v>64</v>
      </c>
      <c r="N114" s="3">
        <v>45149</v>
      </c>
      <c r="O114" s="3" t="str">
        <f t="shared" si="3"/>
        <v>Aug</v>
      </c>
      <c r="P114" s="12" t="s">
        <v>65</v>
      </c>
    </row>
    <row r="115" spans="1:16" x14ac:dyDescent="0.25">
      <c r="A115" s="11" t="s">
        <v>197</v>
      </c>
      <c r="B115" s="1" t="s">
        <v>53</v>
      </c>
      <c r="C115" s="2" t="s">
        <v>63</v>
      </c>
      <c r="D115" s="1" t="s">
        <v>29</v>
      </c>
      <c r="E115" s="1" t="s">
        <v>30</v>
      </c>
      <c r="F115" s="2" t="s">
        <v>59</v>
      </c>
      <c r="G115" s="1">
        <v>9</v>
      </c>
      <c r="H115" s="1">
        <f t="shared" si="2"/>
        <v>243286</v>
      </c>
      <c r="I115" s="2">
        <v>2189574</v>
      </c>
      <c r="J115" s="6">
        <v>0.15000000000000005</v>
      </c>
      <c r="K115" s="8">
        <v>1861137.9</v>
      </c>
      <c r="L115" s="2" t="s">
        <v>60</v>
      </c>
      <c r="M115" s="2" t="s">
        <v>26</v>
      </c>
      <c r="N115" s="4">
        <v>45006</v>
      </c>
      <c r="O115" s="3" t="str">
        <f t="shared" si="3"/>
        <v>Mar</v>
      </c>
      <c r="P115" s="13" t="s">
        <v>83</v>
      </c>
    </row>
    <row r="116" spans="1:16" x14ac:dyDescent="0.25">
      <c r="A116" s="10" t="s">
        <v>198</v>
      </c>
      <c r="B116" s="1" t="s">
        <v>85</v>
      </c>
      <c r="C116" s="1" t="s">
        <v>47</v>
      </c>
      <c r="D116" s="1" t="s">
        <v>16</v>
      </c>
      <c r="E116" s="1" t="s">
        <v>30</v>
      </c>
      <c r="F116" s="1" t="s">
        <v>125</v>
      </c>
      <c r="G116" s="1">
        <v>8</v>
      </c>
      <c r="H116" s="1">
        <f t="shared" si="2"/>
        <v>59559</v>
      </c>
      <c r="I116" s="1">
        <v>476472</v>
      </c>
      <c r="J116" s="6">
        <v>0.10000000000000002</v>
      </c>
      <c r="K116" s="7">
        <v>428824.8</v>
      </c>
      <c r="L116" s="1" t="s">
        <v>19</v>
      </c>
      <c r="M116" s="1" t="s">
        <v>64</v>
      </c>
      <c r="N116" s="3">
        <v>45191</v>
      </c>
      <c r="O116" s="3" t="str">
        <f t="shared" si="3"/>
        <v>Sep</v>
      </c>
      <c r="P116" s="12" t="s">
        <v>39</v>
      </c>
    </row>
    <row r="117" spans="1:16" x14ac:dyDescent="0.25">
      <c r="A117" s="11" t="s">
        <v>199</v>
      </c>
      <c r="B117" s="1" t="s">
        <v>95</v>
      </c>
      <c r="C117" s="2" t="s">
        <v>42</v>
      </c>
      <c r="D117" s="1" t="s">
        <v>29</v>
      </c>
      <c r="E117" s="1" t="s">
        <v>24</v>
      </c>
      <c r="F117" s="2" t="s">
        <v>25</v>
      </c>
      <c r="G117" s="1">
        <v>13</v>
      </c>
      <c r="H117" s="1">
        <f t="shared" si="2"/>
        <v>14120</v>
      </c>
      <c r="I117" s="2">
        <v>183560</v>
      </c>
      <c r="J117" s="6">
        <v>0.05</v>
      </c>
      <c r="K117" s="8">
        <v>174382</v>
      </c>
      <c r="L117" s="2" t="s">
        <v>60</v>
      </c>
      <c r="M117" s="2" t="s">
        <v>26</v>
      </c>
      <c r="N117" s="4">
        <v>45122</v>
      </c>
      <c r="O117" s="3" t="str">
        <f t="shared" si="3"/>
        <v>Jul</v>
      </c>
      <c r="P117" s="13" t="s">
        <v>77</v>
      </c>
    </row>
    <row r="118" spans="1:16" x14ac:dyDescent="0.25">
      <c r="A118" s="10" t="s">
        <v>200</v>
      </c>
      <c r="B118" s="1" t="s">
        <v>87</v>
      </c>
      <c r="C118" s="1" t="s">
        <v>15</v>
      </c>
      <c r="D118" s="1" t="s">
        <v>16</v>
      </c>
      <c r="E118" s="1" t="s">
        <v>43</v>
      </c>
      <c r="F118" s="1" t="s">
        <v>125</v>
      </c>
      <c r="G118" s="1">
        <v>14</v>
      </c>
      <c r="H118" s="1">
        <f t="shared" si="2"/>
        <v>31050</v>
      </c>
      <c r="I118" s="1">
        <v>434700</v>
      </c>
      <c r="J118" s="6">
        <v>0.1</v>
      </c>
      <c r="K118" s="7">
        <v>391230</v>
      </c>
      <c r="L118" s="1" t="s">
        <v>19</v>
      </c>
      <c r="M118" s="1" t="s">
        <v>38</v>
      </c>
      <c r="N118" s="3">
        <v>45140</v>
      </c>
      <c r="O118" s="3" t="str">
        <f t="shared" si="3"/>
        <v>Aug</v>
      </c>
      <c r="P118" s="12" t="s">
        <v>45</v>
      </c>
    </row>
    <row r="119" spans="1:16" x14ac:dyDescent="0.25">
      <c r="A119" s="11" t="s">
        <v>201</v>
      </c>
      <c r="B119" s="1" t="s">
        <v>92</v>
      </c>
      <c r="C119" s="2" t="s">
        <v>54</v>
      </c>
      <c r="D119" s="1" t="s">
        <v>29</v>
      </c>
      <c r="E119" s="1" t="s">
        <v>30</v>
      </c>
      <c r="F119" s="2" t="s">
        <v>59</v>
      </c>
      <c r="G119" s="1">
        <v>11</v>
      </c>
      <c r="H119" s="1">
        <f t="shared" si="2"/>
        <v>356020</v>
      </c>
      <c r="I119" s="2">
        <v>3916220</v>
      </c>
      <c r="J119" s="6">
        <v>0.1</v>
      </c>
      <c r="K119" s="8">
        <v>3524598</v>
      </c>
      <c r="L119" s="2" t="s">
        <v>702</v>
      </c>
      <c r="M119" s="2" t="s">
        <v>38</v>
      </c>
      <c r="N119" s="4">
        <v>45109</v>
      </c>
      <c r="O119" s="3" t="str">
        <f t="shared" si="3"/>
        <v>Jul</v>
      </c>
      <c r="P119" s="13" t="s">
        <v>21</v>
      </c>
    </row>
    <row r="120" spans="1:16" x14ac:dyDescent="0.25">
      <c r="A120" s="10" t="s">
        <v>202</v>
      </c>
      <c r="B120" s="1" t="s">
        <v>34</v>
      </c>
      <c r="C120" s="1" t="s">
        <v>81</v>
      </c>
      <c r="D120" s="1" t="s">
        <v>29</v>
      </c>
      <c r="E120" s="1" t="s">
        <v>43</v>
      </c>
      <c r="F120" s="1" t="s">
        <v>98</v>
      </c>
      <c r="G120" s="1">
        <v>2</v>
      </c>
      <c r="H120" s="1">
        <f t="shared" si="2"/>
        <v>61165</v>
      </c>
      <c r="I120" s="1">
        <v>122330</v>
      </c>
      <c r="J120" s="6">
        <v>0.1</v>
      </c>
      <c r="K120" s="7">
        <v>110097</v>
      </c>
      <c r="L120" s="1" t="s">
        <v>702</v>
      </c>
      <c r="M120" s="1" t="s">
        <v>38</v>
      </c>
      <c r="N120" s="3">
        <v>45227</v>
      </c>
      <c r="O120" s="3" t="str">
        <f t="shared" si="3"/>
        <v>Oct</v>
      </c>
      <c r="P120" s="12" t="s">
        <v>65</v>
      </c>
    </row>
    <row r="121" spans="1:16" x14ac:dyDescent="0.25">
      <c r="A121" s="11" t="s">
        <v>203</v>
      </c>
      <c r="B121" s="1" t="s">
        <v>34</v>
      </c>
      <c r="C121" s="2" t="s">
        <v>51</v>
      </c>
      <c r="D121" s="1" t="s">
        <v>212</v>
      </c>
      <c r="E121" s="1" t="s">
        <v>35</v>
      </c>
      <c r="F121" s="2" t="s">
        <v>68</v>
      </c>
      <c r="G121" s="1">
        <v>15</v>
      </c>
      <c r="H121" s="1">
        <f t="shared" si="2"/>
        <v>53637</v>
      </c>
      <c r="I121" s="2">
        <v>804555</v>
      </c>
      <c r="J121" s="6">
        <v>0</v>
      </c>
      <c r="K121" s="8">
        <v>804555</v>
      </c>
      <c r="L121" s="2" t="s">
        <v>60</v>
      </c>
      <c r="M121" s="2" t="s">
        <v>64</v>
      </c>
      <c r="N121" s="4">
        <v>45059</v>
      </c>
      <c r="O121" s="3" t="str">
        <f t="shared" si="3"/>
        <v>May</v>
      </c>
      <c r="P121" s="13" t="s">
        <v>74</v>
      </c>
    </row>
    <row r="122" spans="1:16" x14ac:dyDescent="0.25">
      <c r="A122" s="10" t="s">
        <v>204</v>
      </c>
      <c r="B122" s="1" t="s">
        <v>107</v>
      </c>
      <c r="C122" s="1" t="s">
        <v>28</v>
      </c>
      <c r="D122" s="1" t="s">
        <v>212</v>
      </c>
      <c r="E122" s="1" t="s">
        <v>43</v>
      </c>
      <c r="F122" s="1" t="s">
        <v>98</v>
      </c>
      <c r="G122" s="1">
        <v>10</v>
      </c>
      <c r="H122" s="1">
        <f t="shared" si="2"/>
        <v>55052</v>
      </c>
      <c r="I122" s="1">
        <v>550520</v>
      </c>
      <c r="J122" s="6">
        <v>0.2</v>
      </c>
      <c r="K122" s="7">
        <v>440416</v>
      </c>
      <c r="L122" s="1" t="s">
        <v>60</v>
      </c>
      <c r="M122" s="1" t="s">
        <v>38</v>
      </c>
      <c r="N122" s="3">
        <v>45056</v>
      </c>
      <c r="O122" s="3" t="str">
        <f t="shared" si="3"/>
        <v>May</v>
      </c>
      <c r="P122" s="12" t="s">
        <v>65</v>
      </c>
    </row>
    <row r="123" spans="1:16" x14ac:dyDescent="0.25">
      <c r="A123" s="11" t="s">
        <v>205</v>
      </c>
      <c r="B123" s="1" t="s">
        <v>92</v>
      </c>
      <c r="C123" s="2" t="s">
        <v>70</v>
      </c>
      <c r="D123" s="1" t="s">
        <v>16</v>
      </c>
      <c r="E123" s="1" t="s">
        <v>35</v>
      </c>
      <c r="F123" s="2" t="s">
        <v>36</v>
      </c>
      <c r="G123" s="1">
        <v>5</v>
      </c>
      <c r="H123" s="1">
        <f t="shared" si="2"/>
        <v>8113</v>
      </c>
      <c r="I123" s="2">
        <v>40565</v>
      </c>
      <c r="J123" s="6">
        <v>0.15</v>
      </c>
      <c r="K123" s="8">
        <v>34480.25</v>
      </c>
      <c r="L123" s="2" t="s">
        <v>49</v>
      </c>
      <c r="M123" s="2" t="s">
        <v>64</v>
      </c>
      <c r="N123" s="4">
        <v>45078</v>
      </c>
      <c r="O123" s="3" t="str">
        <f t="shared" si="3"/>
        <v>Jun</v>
      </c>
      <c r="P123" s="13" t="s">
        <v>65</v>
      </c>
    </row>
    <row r="124" spans="1:16" x14ac:dyDescent="0.25">
      <c r="A124" s="10" t="s">
        <v>206</v>
      </c>
      <c r="B124" s="1" t="s">
        <v>80</v>
      </c>
      <c r="C124" s="1" t="s">
        <v>54</v>
      </c>
      <c r="D124" s="1" t="s">
        <v>29</v>
      </c>
      <c r="E124" s="1" t="s">
        <v>35</v>
      </c>
      <c r="F124" s="1" t="s">
        <v>68</v>
      </c>
      <c r="G124" s="1">
        <v>13</v>
      </c>
      <c r="H124" s="1">
        <f t="shared" si="2"/>
        <v>168207</v>
      </c>
      <c r="I124" s="1">
        <v>2186691</v>
      </c>
      <c r="J124" s="6">
        <v>0.19999999999999998</v>
      </c>
      <c r="K124" s="7">
        <v>1749352.8</v>
      </c>
      <c r="L124" s="1" t="s">
        <v>60</v>
      </c>
      <c r="M124" s="1" t="s">
        <v>64</v>
      </c>
      <c r="N124" s="3">
        <v>45085</v>
      </c>
      <c r="O124" s="3" t="str">
        <f t="shared" si="3"/>
        <v>Jun</v>
      </c>
      <c r="P124" s="12" t="s">
        <v>21</v>
      </c>
    </row>
    <row r="125" spans="1:16" x14ac:dyDescent="0.25">
      <c r="A125" s="11" t="s">
        <v>207</v>
      </c>
      <c r="B125" s="1" t="s">
        <v>23</v>
      </c>
      <c r="C125" s="2" t="s">
        <v>28</v>
      </c>
      <c r="D125" s="1" t="s">
        <v>29</v>
      </c>
      <c r="E125" s="1" t="s">
        <v>24</v>
      </c>
      <c r="F125" s="2" t="s">
        <v>48</v>
      </c>
      <c r="G125" s="1">
        <v>11</v>
      </c>
      <c r="H125" s="1">
        <f t="shared" si="2"/>
        <v>38728</v>
      </c>
      <c r="I125" s="2">
        <v>426008</v>
      </c>
      <c r="J125" s="6">
        <v>0.15000000000000002</v>
      </c>
      <c r="K125" s="8">
        <v>362106.8</v>
      </c>
      <c r="L125" s="2" t="s">
        <v>60</v>
      </c>
      <c r="M125" s="2" t="s">
        <v>20</v>
      </c>
      <c r="N125" s="4">
        <v>45049</v>
      </c>
      <c r="O125" s="3" t="str">
        <f t="shared" si="3"/>
        <v>May</v>
      </c>
      <c r="P125" s="13" t="s">
        <v>32</v>
      </c>
    </row>
    <row r="126" spans="1:16" x14ac:dyDescent="0.25">
      <c r="A126" s="10" t="s">
        <v>208</v>
      </c>
      <c r="B126" s="1" t="s">
        <v>702</v>
      </c>
      <c r="C126" s="1" t="s">
        <v>15</v>
      </c>
      <c r="D126" s="1" t="s">
        <v>16</v>
      </c>
      <c r="E126" s="1" t="s">
        <v>35</v>
      </c>
      <c r="F126" s="1" t="s">
        <v>68</v>
      </c>
      <c r="G126" s="1">
        <v>13</v>
      </c>
      <c r="H126" s="1">
        <f t="shared" si="2"/>
        <v>36862</v>
      </c>
      <c r="I126" s="1">
        <v>479206</v>
      </c>
      <c r="J126" s="6">
        <v>0</v>
      </c>
      <c r="K126" s="7">
        <v>479206</v>
      </c>
      <c r="L126" s="1" t="s">
        <v>37</v>
      </c>
      <c r="M126" s="1" t="s">
        <v>38</v>
      </c>
      <c r="N126" s="3">
        <v>45102</v>
      </c>
      <c r="O126" s="3" t="str">
        <f t="shared" si="3"/>
        <v>Jun</v>
      </c>
      <c r="P126" s="12" t="s">
        <v>55</v>
      </c>
    </row>
    <row r="127" spans="1:16" x14ac:dyDescent="0.25">
      <c r="A127" s="11" t="s">
        <v>209</v>
      </c>
      <c r="B127" s="1" t="s">
        <v>103</v>
      </c>
      <c r="C127" s="2" t="s">
        <v>63</v>
      </c>
      <c r="D127" s="1" t="s">
        <v>29</v>
      </c>
      <c r="E127" s="1" t="s">
        <v>17</v>
      </c>
      <c r="F127" s="2" t="s">
        <v>82</v>
      </c>
      <c r="G127" s="1">
        <v>11</v>
      </c>
      <c r="H127" s="1">
        <f t="shared" si="2"/>
        <v>446480</v>
      </c>
      <c r="I127" s="2">
        <v>4911280</v>
      </c>
      <c r="J127" s="6">
        <v>0.05</v>
      </c>
      <c r="K127" s="8">
        <v>4665716</v>
      </c>
      <c r="L127" s="2" t="s">
        <v>60</v>
      </c>
      <c r="M127" s="2" t="s">
        <v>64</v>
      </c>
      <c r="N127" s="4">
        <v>45206</v>
      </c>
      <c r="O127" s="3" t="str">
        <f t="shared" si="3"/>
        <v>Oct</v>
      </c>
      <c r="P127" s="13" t="s">
        <v>65</v>
      </c>
    </row>
    <row r="128" spans="1:16" x14ac:dyDescent="0.25">
      <c r="A128" s="10" t="s">
        <v>210</v>
      </c>
      <c r="B128" s="1" t="s">
        <v>76</v>
      </c>
      <c r="C128" s="1" t="s">
        <v>15</v>
      </c>
      <c r="D128" s="1" t="s">
        <v>16</v>
      </c>
      <c r="E128" s="1" t="s">
        <v>35</v>
      </c>
      <c r="F128" s="1" t="s">
        <v>68</v>
      </c>
      <c r="G128" s="1">
        <v>8</v>
      </c>
      <c r="H128" s="1">
        <f t="shared" si="2"/>
        <v>38081</v>
      </c>
      <c r="I128" s="1">
        <v>304648</v>
      </c>
      <c r="J128" s="6">
        <v>0.2</v>
      </c>
      <c r="K128" s="7">
        <v>243718.39999999999</v>
      </c>
      <c r="L128" s="1" t="s">
        <v>19</v>
      </c>
      <c r="M128" s="1" t="s">
        <v>26</v>
      </c>
      <c r="N128" s="3">
        <v>45135</v>
      </c>
      <c r="O128" s="3" t="str">
        <f t="shared" si="3"/>
        <v>Jul</v>
      </c>
      <c r="P128" s="12" t="s">
        <v>77</v>
      </c>
    </row>
    <row r="129" spans="1:16" x14ac:dyDescent="0.25">
      <c r="A129" s="11" t="s">
        <v>211</v>
      </c>
      <c r="B129" s="1" t="s">
        <v>157</v>
      </c>
      <c r="C129" s="2" t="s">
        <v>15</v>
      </c>
      <c r="D129" s="1" t="s">
        <v>212</v>
      </c>
      <c r="E129" s="1" t="s">
        <v>17</v>
      </c>
      <c r="F129" s="2" t="s">
        <v>18</v>
      </c>
      <c r="G129" s="1">
        <v>18</v>
      </c>
      <c r="H129" s="1">
        <f t="shared" si="2"/>
        <v>37087</v>
      </c>
      <c r="I129" s="2">
        <v>667566</v>
      </c>
      <c r="J129" s="6">
        <v>5.0000000000000072E-2</v>
      </c>
      <c r="K129" s="8">
        <v>634187.69999999995</v>
      </c>
      <c r="L129" s="2" t="s">
        <v>19</v>
      </c>
      <c r="M129" s="2" t="s">
        <v>38</v>
      </c>
      <c r="N129" s="4">
        <v>45241</v>
      </c>
      <c r="O129" s="3" t="str">
        <f t="shared" si="3"/>
        <v>Nov</v>
      </c>
      <c r="P129" s="13" t="s">
        <v>39</v>
      </c>
    </row>
    <row r="130" spans="1:16" x14ac:dyDescent="0.25">
      <c r="A130" s="10" t="s">
        <v>213</v>
      </c>
      <c r="B130" s="1" t="s">
        <v>57</v>
      </c>
      <c r="C130" s="1" t="s">
        <v>58</v>
      </c>
      <c r="D130" s="1" t="s">
        <v>29</v>
      </c>
      <c r="E130" s="1" t="s">
        <v>30</v>
      </c>
      <c r="F130" s="1" t="s">
        <v>125</v>
      </c>
      <c r="G130" s="1">
        <v>2</v>
      </c>
      <c r="H130" s="1">
        <f t="shared" ref="H130:H193" si="4">I130/G130</f>
        <v>358739</v>
      </c>
      <c r="I130" s="1">
        <v>717478</v>
      </c>
      <c r="J130" s="6">
        <v>0.10000000000000006</v>
      </c>
      <c r="K130" s="7">
        <v>645730.19999999995</v>
      </c>
      <c r="L130" s="1" t="s">
        <v>37</v>
      </c>
      <c r="M130" s="1" t="s">
        <v>64</v>
      </c>
      <c r="N130" s="3">
        <v>45118</v>
      </c>
      <c r="O130" s="3" t="str">
        <f t="shared" si="3"/>
        <v>Jul</v>
      </c>
      <c r="P130" s="12" t="s">
        <v>74</v>
      </c>
    </row>
    <row r="131" spans="1:16" x14ac:dyDescent="0.25">
      <c r="A131" s="11" t="s">
        <v>214</v>
      </c>
      <c r="B131" s="1" t="s">
        <v>34</v>
      </c>
      <c r="C131" s="2" t="s">
        <v>51</v>
      </c>
      <c r="D131" s="1" t="s">
        <v>16</v>
      </c>
      <c r="E131" s="1" t="s">
        <v>17</v>
      </c>
      <c r="F131" s="2" t="s">
        <v>73</v>
      </c>
      <c r="G131" s="1">
        <v>18</v>
      </c>
      <c r="H131" s="1">
        <f t="shared" si="4"/>
        <v>12861</v>
      </c>
      <c r="I131" s="2">
        <v>231498</v>
      </c>
      <c r="J131" s="6">
        <v>0.20000000000000004</v>
      </c>
      <c r="K131" s="8">
        <v>185198.4</v>
      </c>
      <c r="L131" s="2" t="s">
        <v>19</v>
      </c>
      <c r="M131" s="2" t="s">
        <v>64</v>
      </c>
      <c r="N131" s="4">
        <v>45119</v>
      </c>
      <c r="O131" s="3" t="str">
        <f t="shared" ref="O131:O194" si="5">TEXT(N131,"mmm")</f>
        <v>Jul</v>
      </c>
      <c r="P131" s="13" t="s">
        <v>45</v>
      </c>
    </row>
    <row r="132" spans="1:16" x14ac:dyDescent="0.25">
      <c r="A132" s="10" t="s">
        <v>215</v>
      </c>
      <c r="B132" s="1" t="s">
        <v>92</v>
      </c>
      <c r="C132" s="1" t="s">
        <v>81</v>
      </c>
      <c r="D132" s="1" t="s">
        <v>29</v>
      </c>
      <c r="E132" s="1" t="s">
        <v>17</v>
      </c>
      <c r="F132" s="1" t="s">
        <v>18</v>
      </c>
      <c r="G132" s="1">
        <v>18</v>
      </c>
      <c r="H132" s="1">
        <f t="shared" si="4"/>
        <v>50916</v>
      </c>
      <c r="I132" s="1">
        <v>916488</v>
      </c>
      <c r="J132" s="6">
        <v>0.19999999999999998</v>
      </c>
      <c r="K132" s="7">
        <v>733190.4</v>
      </c>
      <c r="L132" s="1" t="s">
        <v>60</v>
      </c>
      <c r="M132" s="1" t="s">
        <v>20</v>
      </c>
      <c r="N132" s="3">
        <v>45148</v>
      </c>
      <c r="O132" s="3" t="str">
        <f t="shared" si="5"/>
        <v>Aug</v>
      </c>
      <c r="P132" s="12" t="s">
        <v>21</v>
      </c>
    </row>
    <row r="133" spans="1:16" x14ac:dyDescent="0.25">
      <c r="A133" s="11" t="s">
        <v>216</v>
      </c>
      <c r="B133" s="1" t="s">
        <v>87</v>
      </c>
      <c r="C133" s="2" t="s">
        <v>51</v>
      </c>
      <c r="D133" s="1" t="s">
        <v>16</v>
      </c>
      <c r="E133" s="1" t="s">
        <v>30</v>
      </c>
      <c r="F133" s="2" t="s">
        <v>59</v>
      </c>
      <c r="G133" s="1">
        <v>20</v>
      </c>
      <c r="H133" s="1">
        <f t="shared" si="4"/>
        <v>68462</v>
      </c>
      <c r="I133" s="2">
        <v>1369240</v>
      </c>
      <c r="J133" s="6">
        <v>0.05</v>
      </c>
      <c r="K133" s="8">
        <v>1300778</v>
      </c>
      <c r="L133" s="2" t="s">
        <v>19</v>
      </c>
      <c r="M133" s="2" t="s">
        <v>38</v>
      </c>
      <c r="N133" s="4">
        <v>45071</v>
      </c>
      <c r="O133" s="3" t="str">
        <f t="shared" si="5"/>
        <v>May</v>
      </c>
      <c r="P133" s="13" t="s">
        <v>65</v>
      </c>
    </row>
    <row r="134" spans="1:16" x14ac:dyDescent="0.25">
      <c r="A134" s="10" t="s">
        <v>217</v>
      </c>
      <c r="B134" s="1" t="s">
        <v>76</v>
      </c>
      <c r="C134" s="1" t="s">
        <v>28</v>
      </c>
      <c r="D134" s="1" t="s">
        <v>29</v>
      </c>
      <c r="E134" s="1" t="s">
        <v>30</v>
      </c>
      <c r="F134" s="1" t="s">
        <v>31</v>
      </c>
      <c r="G134" s="1">
        <v>6</v>
      </c>
      <c r="H134" s="1">
        <f t="shared" si="4"/>
        <v>57198</v>
      </c>
      <c r="I134" s="1">
        <v>343188</v>
      </c>
      <c r="J134" s="6">
        <v>9.9999999999999964E-2</v>
      </c>
      <c r="K134" s="7">
        <v>308869.2</v>
      </c>
      <c r="L134" s="1" t="s">
        <v>37</v>
      </c>
      <c r="M134" s="1" t="s">
        <v>38</v>
      </c>
      <c r="N134" s="3">
        <v>45090</v>
      </c>
      <c r="O134" s="3" t="str">
        <f t="shared" si="5"/>
        <v>Jun</v>
      </c>
      <c r="P134" s="12" t="s">
        <v>65</v>
      </c>
    </row>
    <row r="135" spans="1:16" x14ac:dyDescent="0.25">
      <c r="A135" s="11" t="s">
        <v>218</v>
      </c>
      <c r="B135" s="1" t="s">
        <v>157</v>
      </c>
      <c r="C135" s="2" t="s">
        <v>42</v>
      </c>
      <c r="D135" s="1" t="s">
        <v>29</v>
      </c>
      <c r="E135" s="1" t="s">
        <v>17</v>
      </c>
      <c r="F135" s="2" t="s">
        <v>73</v>
      </c>
      <c r="G135" s="1">
        <v>2</v>
      </c>
      <c r="H135" s="1">
        <f t="shared" si="4"/>
        <v>393425</v>
      </c>
      <c r="I135" s="2">
        <v>786850</v>
      </c>
      <c r="J135" s="6">
        <v>0.05</v>
      </c>
      <c r="K135" s="8">
        <v>747507.5</v>
      </c>
      <c r="L135" s="2" t="s">
        <v>19</v>
      </c>
      <c r="M135" s="2" t="s">
        <v>64</v>
      </c>
      <c r="N135" s="4">
        <v>44982</v>
      </c>
      <c r="O135" s="3" t="str">
        <f t="shared" si="5"/>
        <v>Feb</v>
      </c>
      <c r="P135" s="13" t="s">
        <v>65</v>
      </c>
    </row>
    <row r="136" spans="1:16" x14ac:dyDescent="0.25">
      <c r="A136" s="10" t="s">
        <v>219</v>
      </c>
      <c r="B136" s="1" t="s">
        <v>23</v>
      </c>
      <c r="C136" s="1" t="s">
        <v>42</v>
      </c>
      <c r="D136" s="1" t="s">
        <v>29</v>
      </c>
      <c r="E136" s="1" t="s">
        <v>24</v>
      </c>
      <c r="F136" s="1" t="s">
        <v>71</v>
      </c>
      <c r="G136" s="1">
        <v>9</v>
      </c>
      <c r="H136" s="1">
        <f t="shared" si="4"/>
        <v>36082</v>
      </c>
      <c r="I136" s="1">
        <v>324738</v>
      </c>
      <c r="J136" s="6">
        <v>9.9999999999999964E-2</v>
      </c>
      <c r="K136" s="7">
        <v>292264.2</v>
      </c>
      <c r="L136" s="1" t="s">
        <v>19</v>
      </c>
      <c r="M136" s="1" t="s">
        <v>20</v>
      </c>
      <c r="N136" s="3">
        <v>45001</v>
      </c>
      <c r="O136" s="3" t="str">
        <f t="shared" si="5"/>
        <v>Mar</v>
      </c>
      <c r="P136" s="12" t="s">
        <v>45</v>
      </c>
    </row>
    <row r="137" spans="1:16" x14ac:dyDescent="0.25">
      <c r="A137" s="11" t="s">
        <v>220</v>
      </c>
      <c r="B137" s="1" t="s">
        <v>103</v>
      </c>
      <c r="C137" s="2" t="s">
        <v>58</v>
      </c>
      <c r="D137" s="1" t="s">
        <v>29</v>
      </c>
      <c r="E137" s="1" t="s">
        <v>43</v>
      </c>
      <c r="F137" s="2" t="s">
        <v>44</v>
      </c>
      <c r="G137" s="1">
        <v>12</v>
      </c>
      <c r="H137" s="1">
        <f t="shared" si="4"/>
        <v>415979</v>
      </c>
      <c r="I137" s="2">
        <v>4991748</v>
      </c>
      <c r="J137" s="6">
        <v>9.9999999999999964E-2</v>
      </c>
      <c r="K137" s="8">
        <v>4492573.2</v>
      </c>
      <c r="L137" s="2" t="s">
        <v>60</v>
      </c>
      <c r="M137" s="2" t="s">
        <v>20</v>
      </c>
      <c r="N137" s="4">
        <v>44973</v>
      </c>
      <c r="O137" s="3" t="str">
        <f t="shared" si="5"/>
        <v>Feb</v>
      </c>
      <c r="P137" s="13" t="s">
        <v>21</v>
      </c>
    </row>
    <row r="138" spans="1:16" x14ac:dyDescent="0.25">
      <c r="A138" s="10" t="s">
        <v>221</v>
      </c>
      <c r="B138" s="1" t="s">
        <v>57</v>
      </c>
      <c r="C138" s="1" t="s">
        <v>28</v>
      </c>
      <c r="D138" s="1" t="s">
        <v>29</v>
      </c>
      <c r="E138" s="1" t="s">
        <v>35</v>
      </c>
      <c r="F138" s="1" t="s">
        <v>36</v>
      </c>
      <c r="G138" s="1">
        <v>7</v>
      </c>
      <c r="H138" s="1">
        <f t="shared" si="4"/>
        <v>72915</v>
      </c>
      <c r="I138" s="1">
        <v>510405</v>
      </c>
      <c r="J138" s="6">
        <v>0.1</v>
      </c>
      <c r="K138" s="7">
        <v>459364.5</v>
      </c>
      <c r="L138" s="1" t="s">
        <v>60</v>
      </c>
      <c r="M138" s="1" t="s">
        <v>38</v>
      </c>
      <c r="N138" s="3">
        <v>44968</v>
      </c>
      <c r="O138" s="3" t="str">
        <f t="shared" si="5"/>
        <v>Feb</v>
      </c>
      <c r="P138" s="12" t="s">
        <v>77</v>
      </c>
    </row>
    <row r="139" spans="1:16" x14ac:dyDescent="0.25">
      <c r="A139" s="11" t="s">
        <v>222</v>
      </c>
      <c r="B139" s="1" t="s">
        <v>90</v>
      </c>
      <c r="C139" s="2" t="s">
        <v>51</v>
      </c>
      <c r="D139" s="1" t="s">
        <v>16</v>
      </c>
      <c r="E139" s="1" t="s">
        <v>24</v>
      </c>
      <c r="F139" s="2" t="s">
        <v>48</v>
      </c>
      <c r="G139" s="1">
        <v>8</v>
      </c>
      <c r="H139" s="1">
        <f t="shared" si="4"/>
        <v>8840</v>
      </c>
      <c r="I139" s="2">
        <v>70720</v>
      </c>
      <c r="J139" s="6">
        <v>0.1</v>
      </c>
      <c r="K139" s="8">
        <v>63648</v>
      </c>
      <c r="L139" s="2" t="s">
        <v>19</v>
      </c>
      <c r="M139" s="2" t="s">
        <v>38</v>
      </c>
      <c r="N139" s="4">
        <v>45019</v>
      </c>
      <c r="O139" s="3" t="str">
        <f t="shared" si="5"/>
        <v>Apr</v>
      </c>
      <c r="P139" s="13" t="s">
        <v>122</v>
      </c>
    </row>
    <row r="140" spans="1:16" x14ac:dyDescent="0.25">
      <c r="A140" s="10" t="s">
        <v>223</v>
      </c>
      <c r="B140" s="1" t="s">
        <v>80</v>
      </c>
      <c r="C140" s="1" t="s">
        <v>54</v>
      </c>
      <c r="D140" s="1" t="s">
        <v>29</v>
      </c>
      <c r="E140" s="1" t="s">
        <v>24</v>
      </c>
      <c r="F140" s="1" t="s">
        <v>25</v>
      </c>
      <c r="G140" s="1">
        <v>13</v>
      </c>
      <c r="H140" s="1">
        <f t="shared" si="4"/>
        <v>391753</v>
      </c>
      <c r="I140" s="1">
        <v>5092789</v>
      </c>
      <c r="J140" s="6">
        <v>5.0000000000000037E-2</v>
      </c>
      <c r="K140" s="7">
        <v>4838149.55</v>
      </c>
      <c r="L140" s="1" t="s">
        <v>19</v>
      </c>
      <c r="M140" s="1" t="s">
        <v>38</v>
      </c>
      <c r="N140" s="3">
        <v>45095</v>
      </c>
      <c r="O140" s="3" t="str">
        <f t="shared" si="5"/>
        <v>Jun</v>
      </c>
      <c r="P140" s="12" t="s">
        <v>39</v>
      </c>
    </row>
    <row r="141" spans="1:16" x14ac:dyDescent="0.25">
      <c r="A141" s="11" t="s">
        <v>224</v>
      </c>
      <c r="B141" s="1" t="s">
        <v>53</v>
      </c>
      <c r="C141" s="2" t="s">
        <v>63</v>
      </c>
      <c r="D141" s="1" t="s">
        <v>29</v>
      </c>
      <c r="E141" s="1" t="s">
        <v>24</v>
      </c>
      <c r="F141" s="2" t="s">
        <v>48</v>
      </c>
      <c r="G141" s="1">
        <v>15</v>
      </c>
      <c r="H141" s="1">
        <f t="shared" si="4"/>
        <v>487995</v>
      </c>
      <c r="I141" s="2">
        <v>7319925</v>
      </c>
      <c r="J141" s="6">
        <v>0.2</v>
      </c>
      <c r="K141" s="8">
        <v>5855940</v>
      </c>
      <c r="L141" s="2" t="s">
        <v>49</v>
      </c>
      <c r="M141" s="2" t="s">
        <v>20</v>
      </c>
      <c r="N141" s="4">
        <v>45109</v>
      </c>
      <c r="O141" s="3" t="str">
        <f t="shared" si="5"/>
        <v>Jul</v>
      </c>
      <c r="P141" s="13" t="s">
        <v>74</v>
      </c>
    </row>
    <row r="142" spans="1:16" x14ac:dyDescent="0.25">
      <c r="A142" s="10" t="s">
        <v>225</v>
      </c>
      <c r="B142" s="1" t="s">
        <v>57</v>
      </c>
      <c r="C142" s="1" t="s">
        <v>81</v>
      </c>
      <c r="D142" s="1" t="s">
        <v>16</v>
      </c>
      <c r="E142" s="1" t="s">
        <v>35</v>
      </c>
      <c r="F142" s="1" t="s">
        <v>108</v>
      </c>
      <c r="G142" s="1">
        <v>2</v>
      </c>
      <c r="H142" s="1">
        <f t="shared" si="4"/>
        <v>34135</v>
      </c>
      <c r="I142" s="1">
        <v>68270</v>
      </c>
      <c r="J142" s="6">
        <v>0.05</v>
      </c>
      <c r="K142" s="7">
        <v>64856.5</v>
      </c>
      <c r="L142" s="1" t="s">
        <v>19</v>
      </c>
      <c r="M142" s="1" t="s">
        <v>64</v>
      </c>
      <c r="N142" s="3">
        <v>45218</v>
      </c>
      <c r="O142" s="3" t="str">
        <f t="shared" si="5"/>
        <v>Oct</v>
      </c>
      <c r="P142" s="12" t="s">
        <v>65</v>
      </c>
    </row>
    <row r="143" spans="1:16" x14ac:dyDescent="0.25">
      <c r="A143" s="11" t="s">
        <v>226</v>
      </c>
      <c r="B143" s="1" t="s">
        <v>34</v>
      </c>
      <c r="C143" s="2" t="s">
        <v>58</v>
      </c>
      <c r="D143" s="1" t="s">
        <v>29</v>
      </c>
      <c r="E143" s="1" t="s">
        <v>43</v>
      </c>
      <c r="F143" s="2" t="s">
        <v>142</v>
      </c>
      <c r="G143" s="1">
        <v>5</v>
      </c>
      <c r="H143" s="1">
        <f t="shared" si="4"/>
        <v>220711</v>
      </c>
      <c r="I143" s="2">
        <v>1103555</v>
      </c>
      <c r="J143" s="6">
        <v>0.15</v>
      </c>
      <c r="K143" s="8">
        <v>938021.75</v>
      </c>
      <c r="L143" s="2" t="s">
        <v>37</v>
      </c>
      <c r="M143" s="2" t="s">
        <v>26</v>
      </c>
      <c r="N143" s="4">
        <v>45249</v>
      </c>
      <c r="O143" s="3" t="str">
        <f t="shared" si="5"/>
        <v>Nov</v>
      </c>
      <c r="P143" s="13" t="s">
        <v>122</v>
      </c>
    </row>
    <row r="144" spans="1:16" x14ac:dyDescent="0.25">
      <c r="A144" s="10" t="s">
        <v>227</v>
      </c>
      <c r="B144" s="1" t="s">
        <v>87</v>
      </c>
      <c r="C144" s="1" t="s">
        <v>54</v>
      </c>
      <c r="D144" s="1" t="s">
        <v>29</v>
      </c>
      <c r="E144" s="1" t="s">
        <v>24</v>
      </c>
      <c r="F144" s="1" t="s">
        <v>71</v>
      </c>
      <c r="G144" s="1">
        <v>20</v>
      </c>
      <c r="H144" s="1">
        <f t="shared" si="4"/>
        <v>325735</v>
      </c>
      <c r="I144" s="1">
        <v>6514700</v>
      </c>
      <c r="J144" s="6">
        <v>0</v>
      </c>
      <c r="K144" s="7">
        <v>6514700</v>
      </c>
      <c r="L144" s="1" t="s">
        <v>19</v>
      </c>
      <c r="M144" s="1" t="s">
        <v>38</v>
      </c>
      <c r="N144" s="3">
        <f>N143</f>
        <v>45249</v>
      </c>
      <c r="O144" s="3" t="str">
        <f t="shared" si="5"/>
        <v>Nov</v>
      </c>
      <c r="P144" s="12" t="s">
        <v>39</v>
      </c>
    </row>
    <row r="145" spans="1:16" x14ac:dyDescent="0.25">
      <c r="A145" s="11" t="s">
        <v>228</v>
      </c>
      <c r="B145" s="1" t="s">
        <v>87</v>
      </c>
      <c r="C145" s="2" t="s">
        <v>15</v>
      </c>
      <c r="D145" s="1" t="s">
        <v>16</v>
      </c>
      <c r="E145" s="1" t="s">
        <v>17</v>
      </c>
      <c r="F145" s="2" t="s">
        <v>73</v>
      </c>
      <c r="G145" s="1">
        <v>14</v>
      </c>
      <c r="H145" s="1">
        <f t="shared" si="4"/>
        <v>20043</v>
      </c>
      <c r="I145" s="2">
        <v>280602</v>
      </c>
      <c r="J145" s="6">
        <v>0.19999999999999998</v>
      </c>
      <c r="K145" s="8">
        <v>224481.6</v>
      </c>
      <c r="L145" s="2" t="s">
        <v>60</v>
      </c>
      <c r="M145" s="2" t="s">
        <v>20</v>
      </c>
      <c r="N145" s="4">
        <v>44988</v>
      </c>
      <c r="O145" s="3" t="str">
        <f t="shared" si="5"/>
        <v>Mar</v>
      </c>
      <c r="P145" s="13" t="s">
        <v>39</v>
      </c>
    </row>
    <row r="146" spans="1:16" x14ac:dyDescent="0.25">
      <c r="A146" s="10" t="s">
        <v>229</v>
      </c>
      <c r="B146" s="1" t="s">
        <v>702</v>
      </c>
      <c r="C146" s="1" t="s">
        <v>54</v>
      </c>
      <c r="D146" s="1" t="s">
        <v>29</v>
      </c>
      <c r="E146" s="1" t="s">
        <v>24</v>
      </c>
      <c r="F146" s="1" t="s">
        <v>71</v>
      </c>
      <c r="G146" s="1">
        <v>10</v>
      </c>
      <c r="H146" s="1">
        <f t="shared" si="4"/>
        <v>377922</v>
      </c>
      <c r="I146" s="1">
        <v>3779220</v>
      </c>
      <c r="J146" s="6">
        <v>0.1</v>
      </c>
      <c r="K146" s="7">
        <v>3401298</v>
      </c>
      <c r="L146" s="1" t="s">
        <v>49</v>
      </c>
      <c r="M146" s="1" t="s">
        <v>26</v>
      </c>
      <c r="N146" s="3">
        <v>45013</v>
      </c>
      <c r="O146" s="3" t="str">
        <f t="shared" si="5"/>
        <v>Mar</v>
      </c>
      <c r="P146" s="12" t="s">
        <v>65</v>
      </c>
    </row>
    <row r="147" spans="1:16" x14ac:dyDescent="0.25">
      <c r="A147" s="11" t="s">
        <v>230</v>
      </c>
      <c r="B147" s="1" t="s">
        <v>41</v>
      </c>
      <c r="C147" s="2" t="s">
        <v>51</v>
      </c>
      <c r="D147" s="1" t="s">
        <v>16</v>
      </c>
      <c r="E147" s="1" t="s">
        <v>17</v>
      </c>
      <c r="F147" s="2" t="s">
        <v>18</v>
      </c>
      <c r="G147" s="1">
        <v>10</v>
      </c>
      <c r="H147" s="1">
        <f t="shared" si="4"/>
        <v>6854</v>
      </c>
      <c r="I147" s="2">
        <v>68540</v>
      </c>
      <c r="J147" s="6">
        <v>0.2</v>
      </c>
      <c r="K147" s="8">
        <v>54832</v>
      </c>
      <c r="L147" s="2" t="s">
        <v>49</v>
      </c>
      <c r="M147" s="2" t="s">
        <v>64</v>
      </c>
      <c r="N147" s="4">
        <v>45208</v>
      </c>
      <c r="O147" s="3" t="str">
        <f t="shared" si="5"/>
        <v>Oct</v>
      </c>
      <c r="P147" s="13" t="s">
        <v>21</v>
      </c>
    </row>
    <row r="148" spans="1:16" x14ac:dyDescent="0.25">
      <c r="A148" s="10" t="s">
        <v>231</v>
      </c>
      <c r="B148" s="1" t="s">
        <v>157</v>
      </c>
      <c r="C148" s="1" t="s">
        <v>51</v>
      </c>
      <c r="D148" s="1" t="s">
        <v>16</v>
      </c>
      <c r="E148" s="1" t="s">
        <v>35</v>
      </c>
      <c r="F148" s="1" t="s">
        <v>36</v>
      </c>
      <c r="G148" s="1">
        <v>10</v>
      </c>
      <c r="H148" s="1">
        <f t="shared" si="4"/>
        <v>61985</v>
      </c>
      <c r="I148" s="1">
        <v>619850</v>
      </c>
      <c r="J148" s="6">
        <v>0.05</v>
      </c>
      <c r="K148" s="7">
        <v>588857.5</v>
      </c>
      <c r="L148" s="1" t="s">
        <v>19</v>
      </c>
      <c r="M148" s="1" t="s">
        <v>38</v>
      </c>
      <c r="N148" s="3">
        <v>45025</v>
      </c>
      <c r="O148" s="3" t="str">
        <f t="shared" si="5"/>
        <v>Apr</v>
      </c>
      <c r="P148" s="12" t="s">
        <v>65</v>
      </c>
    </row>
    <row r="149" spans="1:16" x14ac:dyDescent="0.25">
      <c r="A149" s="11" t="s">
        <v>203</v>
      </c>
      <c r="B149" s="1" t="s">
        <v>34</v>
      </c>
      <c r="C149" s="2" t="s">
        <v>51</v>
      </c>
      <c r="D149" s="1" t="s">
        <v>16</v>
      </c>
      <c r="E149" s="1" t="s">
        <v>35</v>
      </c>
      <c r="F149" s="2" t="s">
        <v>68</v>
      </c>
      <c r="G149" s="1">
        <v>15</v>
      </c>
      <c r="H149" s="1">
        <f t="shared" si="4"/>
        <v>53637</v>
      </c>
      <c r="I149" s="2">
        <v>804555</v>
      </c>
      <c r="J149" s="6">
        <v>0</v>
      </c>
      <c r="K149" s="8">
        <v>804555</v>
      </c>
      <c r="L149" s="2" t="s">
        <v>60</v>
      </c>
      <c r="M149" s="2" t="s">
        <v>64</v>
      </c>
      <c r="N149" s="4">
        <v>45059</v>
      </c>
      <c r="O149" s="3" t="str">
        <f t="shared" si="5"/>
        <v>May</v>
      </c>
      <c r="P149" s="13" t="s">
        <v>74</v>
      </c>
    </row>
    <row r="150" spans="1:16" x14ac:dyDescent="0.25">
      <c r="A150" s="10" t="s">
        <v>232</v>
      </c>
      <c r="B150" s="1" t="s">
        <v>41</v>
      </c>
      <c r="C150" s="1" t="s">
        <v>42</v>
      </c>
      <c r="D150" s="1" t="s">
        <v>29</v>
      </c>
      <c r="E150" s="1" t="s">
        <v>35</v>
      </c>
      <c r="F150" s="1" t="s">
        <v>36</v>
      </c>
      <c r="G150" s="1">
        <v>19</v>
      </c>
      <c r="H150" s="1">
        <f t="shared" si="4"/>
        <v>12818</v>
      </c>
      <c r="I150" s="1">
        <v>243542</v>
      </c>
      <c r="J150" s="6">
        <v>0.10000000000000005</v>
      </c>
      <c r="K150" s="7">
        <v>219187.8</v>
      </c>
      <c r="L150" s="1" t="s">
        <v>37</v>
      </c>
      <c r="M150" s="1" t="s">
        <v>26</v>
      </c>
      <c r="N150" s="3">
        <v>45084</v>
      </c>
      <c r="O150" s="3" t="str">
        <f t="shared" si="5"/>
        <v>Jun</v>
      </c>
      <c r="P150" s="12" t="s">
        <v>77</v>
      </c>
    </row>
    <row r="151" spans="1:16" x14ac:dyDescent="0.25">
      <c r="A151" s="11" t="s">
        <v>233</v>
      </c>
      <c r="B151" s="1" t="s">
        <v>103</v>
      </c>
      <c r="C151" s="2" t="s">
        <v>70</v>
      </c>
      <c r="D151" s="1" t="s">
        <v>16</v>
      </c>
      <c r="E151" s="1" t="s">
        <v>17</v>
      </c>
      <c r="F151" s="2" t="s">
        <v>82</v>
      </c>
      <c r="G151" s="1">
        <v>4</v>
      </c>
      <c r="H151" s="1">
        <f t="shared" si="4"/>
        <v>35116</v>
      </c>
      <c r="I151" s="2">
        <v>140464</v>
      </c>
      <c r="J151" s="6">
        <v>0.15000000000000005</v>
      </c>
      <c r="K151" s="8">
        <v>119394.4</v>
      </c>
      <c r="L151" s="2" t="s">
        <v>60</v>
      </c>
      <c r="M151" s="2" t="s">
        <v>26</v>
      </c>
      <c r="N151" s="4">
        <v>45103</v>
      </c>
      <c r="O151" s="3" t="str">
        <f t="shared" si="5"/>
        <v>Jun</v>
      </c>
      <c r="P151" s="13" t="s">
        <v>32</v>
      </c>
    </row>
    <row r="152" spans="1:16" x14ac:dyDescent="0.25">
      <c r="A152" s="10" t="s">
        <v>234</v>
      </c>
      <c r="B152" s="1" t="s">
        <v>62</v>
      </c>
      <c r="C152" s="1" t="s">
        <v>54</v>
      </c>
      <c r="D152" s="1" t="s">
        <v>29</v>
      </c>
      <c r="E152" s="1" t="s">
        <v>43</v>
      </c>
      <c r="F152" s="1" t="s">
        <v>142</v>
      </c>
      <c r="G152" s="1">
        <v>18</v>
      </c>
      <c r="H152" s="1">
        <f t="shared" si="4"/>
        <v>207059</v>
      </c>
      <c r="I152" s="1">
        <v>3727062</v>
      </c>
      <c r="J152" s="6">
        <v>5.0000000000000024E-2</v>
      </c>
      <c r="K152" s="7">
        <v>3540708.9</v>
      </c>
      <c r="L152" s="1" t="s">
        <v>19</v>
      </c>
      <c r="M152" s="1" t="s">
        <v>38</v>
      </c>
      <c r="N152" s="3">
        <v>45116</v>
      </c>
      <c r="O152" s="3" t="str">
        <f t="shared" si="5"/>
        <v>Jul</v>
      </c>
      <c r="P152" s="12" t="s">
        <v>65</v>
      </c>
    </row>
    <row r="153" spans="1:16" x14ac:dyDescent="0.25">
      <c r="A153" s="11" t="s">
        <v>235</v>
      </c>
      <c r="B153" s="1" t="s">
        <v>119</v>
      </c>
      <c r="C153" s="2" t="s">
        <v>28</v>
      </c>
      <c r="D153" s="1" t="s">
        <v>29</v>
      </c>
      <c r="E153" s="1" t="s">
        <v>30</v>
      </c>
      <c r="F153" s="2" t="s">
        <v>125</v>
      </c>
      <c r="G153" s="1">
        <v>9</v>
      </c>
      <c r="H153" s="1">
        <f t="shared" si="4"/>
        <v>65853</v>
      </c>
      <c r="I153" s="2">
        <v>592677</v>
      </c>
      <c r="J153" s="6">
        <v>0</v>
      </c>
      <c r="K153" s="8">
        <v>592677</v>
      </c>
      <c r="L153" s="2" t="s">
        <v>49</v>
      </c>
      <c r="M153" s="2" t="s">
        <v>20</v>
      </c>
      <c r="N153" s="4">
        <v>45103</v>
      </c>
      <c r="O153" s="3" t="str">
        <f t="shared" si="5"/>
        <v>Jun</v>
      </c>
      <c r="P153" s="13" t="s">
        <v>77</v>
      </c>
    </row>
    <row r="154" spans="1:16" x14ac:dyDescent="0.25">
      <c r="A154" s="10" t="s">
        <v>236</v>
      </c>
      <c r="B154" s="1" t="s">
        <v>62</v>
      </c>
      <c r="C154" s="1" t="s">
        <v>28</v>
      </c>
      <c r="D154" s="1" t="s">
        <v>29</v>
      </c>
      <c r="E154" s="1" t="s">
        <v>24</v>
      </c>
      <c r="F154" s="1" t="s">
        <v>71</v>
      </c>
      <c r="G154" s="1">
        <v>5</v>
      </c>
      <c r="H154" s="1">
        <f t="shared" si="4"/>
        <v>55277</v>
      </c>
      <c r="I154" s="1">
        <v>276385</v>
      </c>
      <c r="J154" s="6">
        <v>0.05</v>
      </c>
      <c r="K154" s="7">
        <v>262565.75</v>
      </c>
      <c r="L154" s="1" t="s">
        <v>60</v>
      </c>
      <c r="M154" s="1" t="s">
        <v>64</v>
      </c>
      <c r="N154" s="3">
        <v>45071</v>
      </c>
      <c r="O154" s="3" t="str">
        <f t="shared" si="5"/>
        <v>May</v>
      </c>
      <c r="P154" s="12" t="s">
        <v>45</v>
      </c>
    </row>
    <row r="155" spans="1:16" x14ac:dyDescent="0.25">
      <c r="A155" s="11" t="s">
        <v>237</v>
      </c>
      <c r="B155" s="1" t="s">
        <v>67</v>
      </c>
      <c r="C155" s="2" t="s">
        <v>47</v>
      </c>
      <c r="D155" s="1" t="s">
        <v>16</v>
      </c>
      <c r="E155" s="1" t="s">
        <v>24</v>
      </c>
      <c r="F155" s="2" t="s">
        <v>25</v>
      </c>
      <c r="G155" s="1">
        <v>8</v>
      </c>
      <c r="H155" s="1">
        <f t="shared" si="4"/>
        <v>24735</v>
      </c>
      <c r="I155" s="2">
        <v>197880</v>
      </c>
      <c r="J155" s="6">
        <v>0</v>
      </c>
      <c r="K155" s="8">
        <v>197880</v>
      </c>
      <c r="L155" s="2" t="s">
        <v>60</v>
      </c>
      <c r="M155" s="2" t="s">
        <v>20</v>
      </c>
      <c r="N155" s="4">
        <v>45257</v>
      </c>
      <c r="O155" s="3" t="str">
        <f t="shared" si="5"/>
        <v>Nov</v>
      </c>
      <c r="P155" s="13" t="s">
        <v>39</v>
      </c>
    </row>
    <row r="156" spans="1:16" x14ac:dyDescent="0.25">
      <c r="A156" s="10" t="s">
        <v>238</v>
      </c>
      <c r="B156" s="1" t="s">
        <v>157</v>
      </c>
      <c r="C156" s="1" t="s">
        <v>47</v>
      </c>
      <c r="D156" s="1" t="s">
        <v>16</v>
      </c>
      <c r="E156" s="1" t="s">
        <v>17</v>
      </c>
      <c r="F156" s="1" t="s">
        <v>82</v>
      </c>
      <c r="G156" s="1">
        <v>4</v>
      </c>
      <c r="H156" s="1">
        <f t="shared" si="4"/>
        <v>56497</v>
      </c>
      <c r="I156" s="1">
        <v>225988</v>
      </c>
      <c r="J156" s="6">
        <v>4.9999999999999975E-2</v>
      </c>
      <c r="K156" s="7">
        <v>214688.6</v>
      </c>
      <c r="L156" s="1" t="s">
        <v>19</v>
      </c>
      <c r="M156" s="1" t="s">
        <v>64</v>
      </c>
      <c r="N156" s="3">
        <v>44964</v>
      </c>
      <c r="O156" s="3" t="str">
        <f t="shared" si="5"/>
        <v>Feb</v>
      </c>
      <c r="P156" s="12" t="s">
        <v>74</v>
      </c>
    </row>
    <row r="157" spans="1:16" x14ac:dyDescent="0.25">
      <c r="A157" s="11" t="s">
        <v>239</v>
      </c>
      <c r="B157" s="1" t="s">
        <v>34</v>
      </c>
      <c r="C157" s="2" t="s">
        <v>51</v>
      </c>
      <c r="D157" s="1" t="s">
        <v>16</v>
      </c>
      <c r="E157" s="1" t="s">
        <v>35</v>
      </c>
      <c r="F157" s="2" t="s">
        <v>108</v>
      </c>
      <c r="G157" s="1">
        <v>13</v>
      </c>
      <c r="H157" s="1">
        <f t="shared" si="4"/>
        <v>72449</v>
      </c>
      <c r="I157" s="2">
        <v>941837</v>
      </c>
      <c r="J157" s="6">
        <v>0</v>
      </c>
      <c r="K157" s="8">
        <v>941837</v>
      </c>
      <c r="L157" s="2" t="s">
        <v>37</v>
      </c>
      <c r="M157" s="2" t="s">
        <v>64</v>
      </c>
      <c r="N157" s="4">
        <v>45033</v>
      </c>
      <c r="O157" s="3" t="str">
        <f t="shared" si="5"/>
        <v>Apr</v>
      </c>
      <c r="P157" s="13" t="s">
        <v>77</v>
      </c>
    </row>
    <row r="158" spans="1:16" x14ac:dyDescent="0.25">
      <c r="A158" s="10" t="s">
        <v>240</v>
      </c>
      <c r="B158" s="1" t="s">
        <v>23</v>
      </c>
      <c r="C158" s="1" t="s">
        <v>63</v>
      </c>
      <c r="D158" s="1" t="s">
        <v>29</v>
      </c>
      <c r="E158" s="1" t="s">
        <v>30</v>
      </c>
      <c r="F158" s="1" t="s">
        <v>31</v>
      </c>
      <c r="G158" s="1">
        <v>2</v>
      </c>
      <c r="H158" s="1">
        <f t="shared" si="4"/>
        <v>176289</v>
      </c>
      <c r="I158" s="1">
        <v>352578</v>
      </c>
      <c r="J158" s="6">
        <v>0.19999999999999993</v>
      </c>
      <c r="K158" s="7">
        <v>282062.40000000002</v>
      </c>
      <c r="L158" s="1" t="s">
        <v>60</v>
      </c>
      <c r="M158" s="1" t="s">
        <v>64</v>
      </c>
      <c r="N158" s="3">
        <v>44994</v>
      </c>
      <c r="O158" s="3" t="str">
        <f t="shared" si="5"/>
        <v>Mar</v>
      </c>
      <c r="P158" s="12" t="s">
        <v>21</v>
      </c>
    </row>
    <row r="159" spans="1:16" x14ac:dyDescent="0.25">
      <c r="A159" s="11" t="s">
        <v>241</v>
      </c>
      <c r="B159" s="1" t="s">
        <v>41</v>
      </c>
      <c r="C159" s="2" t="s">
        <v>54</v>
      </c>
      <c r="D159" s="1" t="s">
        <v>29</v>
      </c>
      <c r="E159" s="1" t="s">
        <v>43</v>
      </c>
      <c r="F159" s="2" t="s">
        <v>44</v>
      </c>
      <c r="G159" s="1">
        <v>16</v>
      </c>
      <c r="H159" s="1">
        <f t="shared" si="4"/>
        <v>216528</v>
      </c>
      <c r="I159" s="2">
        <v>3464448</v>
      </c>
      <c r="J159" s="6">
        <v>4.9999999999999975E-2</v>
      </c>
      <c r="K159" s="8">
        <v>3291225.6</v>
      </c>
      <c r="L159" s="2" t="s">
        <v>19</v>
      </c>
      <c r="M159" s="2" t="s">
        <v>26</v>
      </c>
      <c r="N159" s="4">
        <v>45145</v>
      </c>
      <c r="O159" s="3" t="str">
        <f t="shared" si="5"/>
        <v>Aug</v>
      </c>
      <c r="P159" s="13" t="s">
        <v>21</v>
      </c>
    </row>
    <row r="160" spans="1:16" x14ac:dyDescent="0.25">
      <c r="A160" s="10" t="s">
        <v>242</v>
      </c>
      <c r="B160" s="1" t="s">
        <v>41</v>
      </c>
      <c r="C160" s="1" t="s">
        <v>15</v>
      </c>
      <c r="D160" s="1" t="s">
        <v>29</v>
      </c>
      <c r="E160" s="1" t="s">
        <v>17</v>
      </c>
      <c r="F160" s="1" t="s">
        <v>18</v>
      </c>
      <c r="G160" s="1">
        <v>19</v>
      </c>
      <c r="H160" s="1">
        <f t="shared" si="4"/>
        <v>18645</v>
      </c>
      <c r="I160" s="1">
        <v>354255</v>
      </c>
      <c r="J160" s="6">
        <v>0.15</v>
      </c>
      <c r="K160" s="7">
        <v>301116.75</v>
      </c>
      <c r="L160" s="1" t="s">
        <v>49</v>
      </c>
      <c r="M160" s="1" t="s">
        <v>38</v>
      </c>
      <c r="N160" s="3">
        <v>45236</v>
      </c>
      <c r="O160" s="3" t="str">
        <f t="shared" si="5"/>
        <v>Nov</v>
      </c>
      <c r="P160" s="12" t="s">
        <v>21</v>
      </c>
    </row>
    <row r="161" spans="1:16" x14ac:dyDescent="0.25">
      <c r="A161" s="11" t="s">
        <v>243</v>
      </c>
      <c r="B161" s="1" t="s">
        <v>107</v>
      </c>
      <c r="C161" s="2" t="s">
        <v>58</v>
      </c>
      <c r="D161" s="1" t="s">
        <v>29</v>
      </c>
      <c r="E161" s="1" t="s">
        <v>17</v>
      </c>
      <c r="F161" s="2" t="s">
        <v>82</v>
      </c>
      <c r="G161" s="1">
        <v>6</v>
      </c>
      <c r="H161" s="1">
        <f t="shared" si="4"/>
        <v>165238</v>
      </c>
      <c r="I161" s="2">
        <v>991428</v>
      </c>
      <c r="J161" s="6">
        <v>0.14999999999999997</v>
      </c>
      <c r="K161" s="8">
        <v>842713.8</v>
      </c>
      <c r="L161" s="2" t="s">
        <v>49</v>
      </c>
      <c r="M161" s="2" t="s">
        <v>38</v>
      </c>
      <c r="N161" s="4">
        <v>45275</v>
      </c>
      <c r="O161" s="3" t="str">
        <f t="shared" si="5"/>
        <v>Dec</v>
      </c>
      <c r="P161" s="13" t="s">
        <v>74</v>
      </c>
    </row>
    <row r="162" spans="1:16" x14ac:dyDescent="0.25">
      <c r="A162" s="10" t="s">
        <v>244</v>
      </c>
      <c r="B162" s="1" t="s">
        <v>101</v>
      </c>
      <c r="C162" s="1" t="s">
        <v>63</v>
      </c>
      <c r="D162" s="1" t="s">
        <v>29</v>
      </c>
      <c r="E162" s="1" t="s">
        <v>35</v>
      </c>
      <c r="F162" s="1" t="s">
        <v>68</v>
      </c>
      <c r="G162" s="1">
        <v>6</v>
      </c>
      <c r="H162" s="1">
        <f t="shared" si="4"/>
        <v>777135</v>
      </c>
      <c r="I162" s="1">
        <v>4662810</v>
      </c>
      <c r="J162" s="6">
        <v>0.05</v>
      </c>
      <c r="K162" s="7">
        <v>4429669.5</v>
      </c>
      <c r="L162" s="1" t="s">
        <v>19</v>
      </c>
      <c r="M162" s="1" t="s">
        <v>64</v>
      </c>
      <c r="N162" s="3">
        <v>45210</v>
      </c>
      <c r="O162" s="3" t="str">
        <f t="shared" si="5"/>
        <v>Oct</v>
      </c>
      <c r="P162" s="12" t="s">
        <v>77</v>
      </c>
    </row>
    <row r="163" spans="1:16" x14ac:dyDescent="0.25">
      <c r="A163" s="11" t="s">
        <v>245</v>
      </c>
      <c r="B163" s="1" t="s">
        <v>702</v>
      </c>
      <c r="C163" s="2" t="s">
        <v>70</v>
      </c>
      <c r="D163" s="1" t="s">
        <v>16</v>
      </c>
      <c r="E163" s="1" t="s">
        <v>35</v>
      </c>
      <c r="F163" s="2" t="s">
        <v>108</v>
      </c>
      <c r="G163" s="1">
        <v>2</v>
      </c>
      <c r="H163" s="1">
        <f t="shared" si="4"/>
        <v>48829</v>
      </c>
      <c r="I163" s="2">
        <v>97658</v>
      </c>
      <c r="J163" s="6">
        <v>0.10000000000000003</v>
      </c>
      <c r="K163" s="8">
        <v>87892.2</v>
      </c>
      <c r="L163" s="2" t="s">
        <v>49</v>
      </c>
      <c r="M163" s="2" t="s">
        <v>38</v>
      </c>
      <c r="N163" s="4">
        <v>45281</v>
      </c>
      <c r="O163" s="3" t="str">
        <f t="shared" si="5"/>
        <v>Dec</v>
      </c>
      <c r="P163" s="13" t="s">
        <v>74</v>
      </c>
    </row>
    <row r="164" spans="1:16" x14ac:dyDescent="0.25">
      <c r="A164" s="10" t="s">
        <v>246</v>
      </c>
      <c r="B164" s="1" t="s">
        <v>90</v>
      </c>
      <c r="C164" s="1" t="s">
        <v>42</v>
      </c>
      <c r="D164" s="1" t="s">
        <v>29</v>
      </c>
      <c r="E164" s="1" t="s">
        <v>24</v>
      </c>
      <c r="F164" s="1" t="s">
        <v>71</v>
      </c>
      <c r="G164" s="1">
        <v>5</v>
      </c>
      <c r="H164" s="1">
        <f t="shared" si="4"/>
        <v>32082</v>
      </c>
      <c r="I164" s="1">
        <v>160410</v>
      </c>
      <c r="J164" s="6">
        <v>0.05</v>
      </c>
      <c r="K164" s="7">
        <v>152389.5</v>
      </c>
      <c r="L164" s="1" t="s">
        <v>19</v>
      </c>
      <c r="M164" s="1" t="s">
        <v>20</v>
      </c>
      <c r="N164" s="3">
        <v>45217</v>
      </c>
      <c r="O164" s="3" t="str">
        <f t="shared" si="5"/>
        <v>Oct</v>
      </c>
      <c r="P164" s="12" t="s">
        <v>21</v>
      </c>
    </row>
    <row r="165" spans="1:16" x14ac:dyDescent="0.25">
      <c r="A165" s="11" t="s">
        <v>247</v>
      </c>
      <c r="B165" s="1" t="s">
        <v>76</v>
      </c>
      <c r="C165" s="2" t="s">
        <v>47</v>
      </c>
      <c r="D165" s="1" t="s">
        <v>16</v>
      </c>
      <c r="E165" s="1" t="s">
        <v>17</v>
      </c>
      <c r="F165" s="2" t="s">
        <v>82</v>
      </c>
      <c r="G165" s="1">
        <v>5</v>
      </c>
      <c r="H165" s="1">
        <f t="shared" si="4"/>
        <v>25308</v>
      </c>
      <c r="I165" s="2">
        <v>126540</v>
      </c>
      <c r="J165" s="6">
        <v>0</v>
      </c>
      <c r="K165" s="8">
        <v>126540</v>
      </c>
      <c r="L165" s="2" t="s">
        <v>49</v>
      </c>
      <c r="M165" s="2" t="s">
        <v>20</v>
      </c>
      <c r="N165" s="4">
        <v>45056</v>
      </c>
      <c r="O165" s="3" t="str">
        <f t="shared" si="5"/>
        <v>May</v>
      </c>
      <c r="P165" s="13" t="s">
        <v>74</v>
      </c>
    </row>
    <row r="166" spans="1:16" x14ac:dyDescent="0.25">
      <c r="A166" s="10" t="s">
        <v>248</v>
      </c>
      <c r="B166" s="1" t="s">
        <v>119</v>
      </c>
      <c r="C166" s="1" t="s">
        <v>70</v>
      </c>
      <c r="D166" s="1" t="s">
        <v>16</v>
      </c>
      <c r="E166" s="1" t="s">
        <v>17</v>
      </c>
      <c r="F166" s="1" t="s">
        <v>82</v>
      </c>
      <c r="G166" s="1">
        <v>13</v>
      </c>
      <c r="H166" s="1">
        <f t="shared" si="4"/>
        <v>46507</v>
      </c>
      <c r="I166" s="1">
        <v>604591</v>
      </c>
      <c r="J166" s="6">
        <v>9.9999999999999964E-2</v>
      </c>
      <c r="K166" s="7">
        <v>544131.9</v>
      </c>
      <c r="L166" s="1" t="s">
        <v>49</v>
      </c>
      <c r="M166" s="1" t="s">
        <v>20</v>
      </c>
      <c r="N166" s="3">
        <v>45268</v>
      </c>
      <c r="O166" s="3" t="str">
        <f t="shared" si="5"/>
        <v>Dec</v>
      </c>
      <c r="P166" s="12" t="s">
        <v>65</v>
      </c>
    </row>
    <row r="167" spans="1:16" x14ac:dyDescent="0.25">
      <c r="A167" s="11" t="s">
        <v>249</v>
      </c>
      <c r="B167" s="1" t="s">
        <v>87</v>
      </c>
      <c r="C167" s="2" t="s">
        <v>42</v>
      </c>
      <c r="D167" s="1" t="s">
        <v>29</v>
      </c>
      <c r="E167" s="1" t="s">
        <v>43</v>
      </c>
      <c r="F167" s="2" t="s">
        <v>44</v>
      </c>
      <c r="G167" s="1">
        <v>2</v>
      </c>
      <c r="H167" s="1">
        <f t="shared" si="4"/>
        <v>16830</v>
      </c>
      <c r="I167" s="2">
        <v>33660</v>
      </c>
      <c r="J167" s="6">
        <v>0</v>
      </c>
      <c r="K167" s="8">
        <v>33660</v>
      </c>
      <c r="L167" s="2" t="s">
        <v>60</v>
      </c>
      <c r="M167" s="2" t="s">
        <v>64</v>
      </c>
      <c r="N167" s="4">
        <v>45185</v>
      </c>
      <c r="O167" s="3" t="str">
        <f t="shared" si="5"/>
        <v>Sep</v>
      </c>
      <c r="P167" s="13" t="s">
        <v>39</v>
      </c>
    </row>
    <row r="168" spans="1:16" x14ac:dyDescent="0.25">
      <c r="A168" s="10" t="s">
        <v>250</v>
      </c>
      <c r="B168" s="1" t="s">
        <v>90</v>
      </c>
      <c r="C168" s="1" t="s">
        <v>47</v>
      </c>
      <c r="D168" s="1" t="s">
        <v>16</v>
      </c>
      <c r="E168" s="1" t="s">
        <v>24</v>
      </c>
      <c r="F168" s="1" t="s">
        <v>25</v>
      </c>
      <c r="G168" s="1">
        <v>17</v>
      </c>
      <c r="H168" s="1">
        <f t="shared" si="4"/>
        <v>57610</v>
      </c>
      <c r="I168" s="1">
        <v>979370</v>
      </c>
      <c r="J168" s="6">
        <v>0.2</v>
      </c>
      <c r="K168" s="7">
        <v>783496</v>
      </c>
      <c r="L168" s="1" t="s">
        <v>49</v>
      </c>
      <c r="M168" s="1" t="s">
        <v>38</v>
      </c>
      <c r="N168" s="3">
        <v>45242</v>
      </c>
      <c r="O168" s="3" t="str">
        <f t="shared" si="5"/>
        <v>Nov</v>
      </c>
      <c r="P168" s="12" t="s">
        <v>83</v>
      </c>
    </row>
    <row r="169" spans="1:16" x14ac:dyDescent="0.25">
      <c r="A169" s="11" t="s">
        <v>251</v>
      </c>
      <c r="B169" s="1" t="s">
        <v>90</v>
      </c>
      <c r="C169" s="2" t="s">
        <v>47</v>
      </c>
      <c r="D169" s="1" t="s">
        <v>16</v>
      </c>
      <c r="E169" s="1" t="s">
        <v>17</v>
      </c>
      <c r="F169" s="2" t="s">
        <v>82</v>
      </c>
      <c r="G169" s="1">
        <v>17</v>
      </c>
      <c r="H169" s="1">
        <f t="shared" si="4"/>
        <v>69686</v>
      </c>
      <c r="I169" s="2">
        <v>1184662</v>
      </c>
      <c r="J169" s="6">
        <v>0</v>
      </c>
      <c r="K169" s="8">
        <v>1184662</v>
      </c>
      <c r="L169" s="2" t="s">
        <v>60</v>
      </c>
      <c r="M169" s="2" t="s">
        <v>38</v>
      </c>
      <c r="N169" s="4">
        <v>45244</v>
      </c>
      <c r="O169" s="3" t="str">
        <f t="shared" si="5"/>
        <v>Nov</v>
      </c>
      <c r="P169" s="13" t="s">
        <v>74</v>
      </c>
    </row>
    <row r="170" spans="1:16" x14ac:dyDescent="0.25">
      <c r="A170" s="10" t="s">
        <v>252</v>
      </c>
      <c r="B170" s="1" t="s">
        <v>53</v>
      </c>
      <c r="C170" s="1" t="s">
        <v>51</v>
      </c>
      <c r="D170" s="1" t="s">
        <v>16</v>
      </c>
      <c r="E170" s="1" t="s">
        <v>43</v>
      </c>
      <c r="F170" s="1" t="s">
        <v>44</v>
      </c>
      <c r="G170" s="1">
        <v>15</v>
      </c>
      <c r="H170" s="1">
        <f t="shared" si="4"/>
        <v>54479</v>
      </c>
      <c r="I170" s="1">
        <v>817185</v>
      </c>
      <c r="J170" s="6">
        <v>0.15</v>
      </c>
      <c r="K170" s="7">
        <v>694607.25</v>
      </c>
      <c r="L170" s="1" t="s">
        <v>60</v>
      </c>
      <c r="M170" s="1" t="s">
        <v>20</v>
      </c>
      <c r="N170" s="3">
        <v>45079</v>
      </c>
      <c r="O170" s="3" t="str">
        <f t="shared" si="5"/>
        <v>Jun</v>
      </c>
      <c r="P170" s="12" t="s">
        <v>32</v>
      </c>
    </row>
    <row r="171" spans="1:16" x14ac:dyDescent="0.25">
      <c r="A171" s="11" t="s">
        <v>253</v>
      </c>
      <c r="B171" s="1" t="s">
        <v>702</v>
      </c>
      <c r="C171" s="2" t="s">
        <v>58</v>
      </c>
      <c r="D171" s="1" t="s">
        <v>29</v>
      </c>
      <c r="E171" s="1" t="s">
        <v>35</v>
      </c>
      <c r="F171" s="2" t="s">
        <v>68</v>
      </c>
      <c r="G171" s="1">
        <v>20</v>
      </c>
      <c r="H171" s="1">
        <f t="shared" si="4"/>
        <v>408718</v>
      </c>
      <c r="I171" s="2">
        <v>8174360</v>
      </c>
      <c r="J171" s="6">
        <v>0.05</v>
      </c>
      <c r="K171" s="8">
        <v>7765642</v>
      </c>
      <c r="L171" s="2" t="s">
        <v>37</v>
      </c>
      <c r="M171" s="2" t="s">
        <v>26</v>
      </c>
      <c r="N171" s="4">
        <v>45122</v>
      </c>
      <c r="O171" s="3" t="str">
        <f t="shared" si="5"/>
        <v>Jul</v>
      </c>
      <c r="P171" s="13" t="s">
        <v>55</v>
      </c>
    </row>
    <row r="172" spans="1:16" x14ac:dyDescent="0.25">
      <c r="A172" s="10" t="s">
        <v>254</v>
      </c>
      <c r="B172" s="1" t="s">
        <v>85</v>
      </c>
      <c r="C172" s="1" t="s">
        <v>51</v>
      </c>
      <c r="D172" s="1" t="s">
        <v>16</v>
      </c>
      <c r="E172" s="1" t="s">
        <v>35</v>
      </c>
      <c r="F172" s="1" t="s">
        <v>108</v>
      </c>
      <c r="G172" s="1">
        <v>11</v>
      </c>
      <c r="H172" s="1">
        <f t="shared" si="4"/>
        <v>44722</v>
      </c>
      <c r="I172" s="1">
        <v>491942</v>
      </c>
      <c r="J172" s="6">
        <v>0.10000000000000002</v>
      </c>
      <c r="K172" s="7">
        <v>442747.8</v>
      </c>
      <c r="L172" s="1" t="s">
        <v>49</v>
      </c>
      <c r="M172" s="1" t="s">
        <v>38</v>
      </c>
      <c r="N172" s="3">
        <v>45202</v>
      </c>
      <c r="O172" s="3" t="str">
        <f t="shared" si="5"/>
        <v>Oct</v>
      </c>
      <c r="P172" s="12" t="s">
        <v>83</v>
      </c>
    </row>
    <row r="173" spans="1:16" x14ac:dyDescent="0.25">
      <c r="A173" s="11" t="s">
        <v>255</v>
      </c>
      <c r="B173" s="1" t="s">
        <v>23</v>
      </c>
      <c r="C173" s="2" t="s">
        <v>81</v>
      </c>
      <c r="D173" s="1" t="s">
        <v>29</v>
      </c>
      <c r="E173" s="1" t="s">
        <v>24</v>
      </c>
      <c r="F173" s="2" t="s">
        <v>25</v>
      </c>
      <c r="G173" s="1">
        <v>8</v>
      </c>
      <c r="H173" s="1">
        <f t="shared" si="4"/>
        <v>5433</v>
      </c>
      <c r="I173" s="2">
        <v>43464</v>
      </c>
      <c r="J173" s="6">
        <v>0.14999999999999997</v>
      </c>
      <c r="K173" s="8">
        <v>36944.400000000001</v>
      </c>
      <c r="L173" s="2" t="s">
        <v>19</v>
      </c>
      <c r="M173" s="2" t="s">
        <v>20</v>
      </c>
      <c r="N173" s="4">
        <v>45210</v>
      </c>
      <c r="O173" s="3" t="str">
        <f t="shared" si="5"/>
        <v>Oct</v>
      </c>
      <c r="P173" s="13" t="s">
        <v>45</v>
      </c>
    </row>
    <row r="174" spans="1:16" x14ac:dyDescent="0.25">
      <c r="A174" s="10" t="s">
        <v>256</v>
      </c>
      <c r="B174" s="1" t="s">
        <v>119</v>
      </c>
      <c r="C174" s="1" t="s">
        <v>70</v>
      </c>
      <c r="D174" s="1" t="s">
        <v>16</v>
      </c>
      <c r="E174" s="1" t="s">
        <v>24</v>
      </c>
      <c r="F174" s="1" t="s">
        <v>25</v>
      </c>
      <c r="G174" s="1">
        <v>15</v>
      </c>
      <c r="H174" s="1">
        <f t="shared" si="4"/>
        <v>33474</v>
      </c>
      <c r="I174" s="1">
        <v>502110</v>
      </c>
      <c r="J174" s="6">
        <v>0</v>
      </c>
      <c r="K174" s="7">
        <v>502110</v>
      </c>
      <c r="L174" s="1" t="s">
        <v>49</v>
      </c>
      <c r="M174" s="1" t="s">
        <v>26</v>
      </c>
      <c r="N174" s="3">
        <v>45091</v>
      </c>
      <c r="O174" s="3" t="str">
        <f t="shared" si="5"/>
        <v>Jun</v>
      </c>
      <c r="P174" s="12" t="s">
        <v>77</v>
      </c>
    </row>
    <row r="175" spans="1:16" x14ac:dyDescent="0.25">
      <c r="A175" s="11" t="s">
        <v>257</v>
      </c>
      <c r="B175" s="1" t="s">
        <v>76</v>
      </c>
      <c r="C175" s="2" t="s">
        <v>51</v>
      </c>
      <c r="D175" s="1" t="s">
        <v>16</v>
      </c>
      <c r="E175" s="1" t="s">
        <v>24</v>
      </c>
      <c r="F175" s="2" t="s">
        <v>71</v>
      </c>
      <c r="G175" s="1">
        <v>9</v>
      </c>
      <c r="H175" s="1">
        <f t="shared" si="4"/>
        <v>5336</v>
      </c>
      <c r="I175" s="2">
        <v>48024</v>
      </c>
      <c r="J175" s="6">
        <v>0.10000000000000003</v>
      </c>
      <c r="K175" s="8">
        <v>43221.599999999999</v>
      </c>
      <c r="L175" s="2" t="s">
        <v>37</v>
      </c>
      <c r="M175" s="2" t="s">
        <v>38</v>
      </c>
      <c r="N175" s="4">
        <v>45156</v>
      </c>
      <c r="O175" s="3" t="str">
        <f t="shared" si="5"/>
        <v>Aug</v>
      </c>
      <c r="P175" s="13" t="s">
        <v>83</v>
      </c>
    </row>
    <row r="176" spans="1:16" x14ac:dyDescent="0.25">
      <c r="A176" s="10" t="s">
        <v>258</v>
      </c>
      <c r="B176" s="1" t="s">
        <v>87</v>
      </c>
      <c r="C176" s="1" t="s">
        <v>28</v>
      </c>
      <c r="D176" s="1" t="s">
        <v>29</v>
      </c>
      <c r="E176" s="1" t="s">
        <v>17</v>
      </c>
      <c r="F176" s="1" t="s">
        <v>82</v>
      </c>
      <c r="G176" s="1">
        <v>17</v>
      </c>
      <c r="H176" s="1">
        <f t="shared" si="4"/>
        <v>54832</v>
      </c>
      <c r="I176" s="1">
        <v>932144</v>
      </c>
      <c r="J176" s="6">
        <v>4.9999999999999947E-2</v>
      </c>
      <c r="K176" s="7">
        <v>885536.8</v>
      </c>
      <c r="L176" s="1" t="s">
        <v>49</v>
      </c>
      <c r="M176" s="1" t="s">
        <v>38</v>
      </c>
      <c r="N176" s="3">
        <v>44941</v>
      </c>
      <c r="O176" s="3" t="str">
        <f t="shared" si="5"/>
        <v>Jan</v>
      </c>
      <c r="P176" s="12" t="s">
        <v>77</v>
      </c>
    </row>
    <row r="177" spans="1:16" x14ac:dyDescent="0.25">
      <c r="A177" s="11" t="s">
        <v>259</v>
      </c>
      <c r="B177" s="1" t="s">
        <v>90</v>
      </c>
      <c r="C177" s="2" t="s">
        <v>70</v>
      </c>
      <c r="D177" s="1" t="s">
        <v>16</v>
      </c>
      <c r="E177" s="1" t="s">
        <v>43</v>
      </c>
      <c r="F177" s="2" t="s">
        <v>44</v>
      </c>
      <c r="G177" s="1">
        <v>16</v>
      </c>
      <c r="H177" s="1">
        <f t="shared" si="4"/>
        <v>55242</v>
      </c>
      <c r="I177" s="2">
        <v>883872</v>
      </c>
      <c r="J177" s="6">
        <v>0</v>
      </c>
      <c r="K177" s="8">
        <v>883872</v>
      </c>
      <c r="L177" s="2" t="s">
        <v>60</v>
      </c>
      <c r="M177" s="2" t="s">
        <v>20</v>
      </c>
      <c r="N177" s="4">
        <v>45231</v>
      </c>
      <c r="O177" s="3" t="str">
        <f t="shared" si="5"/>
        <v>Nov</v>
      </c>
      <c r="P177" s="13" t="s">
        <v>32</v>
      </c>
    </row>
    <row r="178" spans="1:16" x14ac:dyDescent="0.25">
      <c r="A178" s="10" t="s">
        <v>260</v>
      </c>
      <c r="B178" s="1" t="s">
        <v>103</v>
      </c>
      <c r="C178" s="1" t="s">
        <v>42</v>
      </c>
      <c r="D178" s="1" t="s">
        <v>29</v>
      </c>
      <c r="E178" s="1" t="s">
        <v>17</v>
      </c>
      <c r="F178" s="1" t="s">
        <v>18</v>
      </c>
      <c r="G178" s="1">
        <v>9</v>
      </c>
      <c r="H178" s="1">
        <f t="shared" si="4"/>
        <v>15494</v>
      </c>
      <c r="I178" s="1">
        <v>139446</v>
      </c>
      <c r="J178" s="6">
        <v>4.999999999999992E-2</v>
      </c>
      <c r="K178" s="7">
        <v>132473.70000000001</v>
      </c>
      <c r="L178" s="1" t="s">
        <v>49</v>
      </c>
      <c r="M178" s="1" t="s">
        <v>64</v>
      </c>
      <c r="N178" s="3">
        <v>44973</v>
      </c>
      <c r="O178" s="3" t="str">
        <f t="shared" si="5"/>
        <v>Feb</v>
      </c>
      <c r="P178" s="12" t="s">
        <v>32</v>
      </c>
    </row>
    <row r="179" spans="1:16" x14ac:dyDescent="0.25">
      <c r="A179" s="11" t="s">
        <v>261</v>
      </c>
      <c r="B179" s="1" t="s">
        <v>57</v>
      </c>
      <c r="C179" s="2" t="s">
        <v>51</v>
      </c>
      <c r="D179" s="1" t="s">
        <v>16</v>
      </c>
      <c r="E179" s="1" t="s">
        <v>24</v>
      </c>
      <c r="F179" s="2" t="s">
        <v>71</v>
      </c>
      <c r="G179" s="1">
        <v>14</v>
      </c>
      <c r="H179" s="1">
        <f t="shared" si="4"/>
        <v>73766</v>
      </c>
      <c r="I179" s="2">
        <v>1032724</v>
      </c>
      <c r="J179" s="6">
        <v>4.9999999999999954E-2</v>
      </c>
      <c r="K179" s="8">
        <v>981087.8</v>
      </c>
      <c r="L179" s="2" t="s">
        <v>49</v>
      </c>
      <c r="M179" s="2" t="s">
        <v>64</v>
      </c>
      <c r="N179" s="4">
        <v>45223</v>
      </c>
      <c r="O179" s="3" t="str">
        <f t="shared" si="5"/>
        <v>Oct</v>
      </c>
      <c r="P179" s="13" t="s">
        <v>32</v>
      </c>
    </row>
    <row r="180" spans="1:16" x14ac:dyDescent="0.25">
      <c r="A180" s="10" t="s">
        <v>262</v>
      </c>
      <c r="B180" s="1" t="s">
        <v>67</v>
      </c>
      <c r="C180" s="1" t="s">
        <v>42</v>
      </c>
      <c r="D180" s="1" t="s">
        <v>29</v>
      </c>
      <c r="E180" s="1" t="s">
        <v>17</v>
      </c>
      <c r="F180" s="1" t="s">
        <v>82</v>
      </c>
      <c r="G180" s="1">
        <v>7</v>
      </c>
      <c r="H180" s="1">
        <f t="shared" si="4"/>
        <v>34658</v>
      </c>
      <c r="I180" s="1">
        <v>242606</v>
      </c>
      <c r="J180" s="6">
        <v>0</v>
      </c>
      <c r="K180" s="7">
        <v>242606</v>
      </c>
      <c r="L180" s="1" t="s">
        <v>19</v>
      </c>
      <c r="M180" s="1" t="s">
        <v>26</v>
      </c>
      <c r="N180" s="3">
        <v>45040</v>
      </c>
      <c r="O180" s="3" t="str">
        <f t="shared" si="5"/>
        <v>Apr</v>
      </c>
      <c r="P180" s="12" t="s">
        <v>122</v>
      </c>
    </row>
    <row r="181" spans="1:16" x14ac:dyDescent="0.25">
      <c r="A181" s="11" t="s">
        <v>263</v>
      </c>
      <c r="B181" s="1" t="s">
        <v>103</v>
      </c>
      <c r="C181" s="2" t="s">
        <v>54</v>
      </c>
      <c r="D181" s="1" t="s">
        <v>29</v>
      </c>
      <c r="E181" s="1" t="s">
        <v>35</v>
      </c>
      <c r="F181" s="2" t="s">
        <v>108</v>
      </c>
      <c r="G181" s="1">
        <v>19</v>
      </c>
      <c r="H181" s="1">
        <f t="shared" si="4"/>
        <v>203347</v>
      </c>
      <c r="I181" s="2">
        <v>3863593</v>
      </c>
      <c r="J181" s="6">
        <v>0.2</v>
      </c>
      <c r="K181" s="8">
        <v>3090874.4</v>
      </c>
      <c r="L181" s="2" t="s">
        <v>19</v>
      </c>
      <c r="M181" s="2" t="s">
        <v>38</v>
      </c>
      <c r="N181" s="4">
        <v>45024</v>
      </c>
      <c r="O181" s="3" t="str">
        <f t="shared" si="5"/>
        <v>Apr</v>
      </c>
      <c r="P181" s="13" t="s">
        <v>65</v>
      </c>
    </row>
    <row r="182" spans="1:16" x14ac:dyDescent="0.25">
      <c r="A182" s="10" t="s">
        <v>264</v>
      </c>
      <c r="B182" s="1" t="s">
        <v>41</v>
      </c>
      <c r="C182" s="1" t="s">
        <v>58</v>
      </c>
      <c r="D182" s="1" t="s">
        <v>29</v>
      </c>
      <c r="E182" s="1" t="s">
        <v>43</v>
      </c>
      <c r="F182" s="1" t="s">
        <v>98</v>
      </c>
      <c r="G182" s="1">
        <v>5</v>
      </c>
      <c r="H182" s="1">
        <f t="shared" si="4"/>
        <v>467855</v>
      </c>
      <c r="I182" s="1">
        <v>2339275</v>
      </c>
      <c r="J182" s="6">
        <v>0.2</v>
      </c>
      <c r="K182" s="7">
        <v>1871420</v>
      </c>
      <c r="L182" s="1" t="s">
        <v>19</v>
      </c>
      <c r="M182" s="1" t="s">
        <v>38</v>
      </c>
      <c r="N182" s="3">
        <v>45127</v>
      </c>
      <c r="O182" s="3" t="str">
        <f t="shared" si="5"/>
        <v>Jul</v>
      </c>
      <c r="P182" s="12" t="s">
        <v>65</v>
      </c>
    </row>
    <row r="183" spans="1:16" x14ac:dyDescent="0.25">
      <c r="A183" s="11" t="s">
        <v>265</v>
      </c>
      <c r="B183" s="1" t="s">
        <v>157</v>
      </c>
      <c r="C183" s="2" t="s">
        <v>81</v>
      </c>
      <c r="D183" s="1" t="s">
        <v>29</v>
      </c>
      <c r="E183" s="1" t="s">
        <v>17</v>
      </c>
      <c r="F183" s="2" t="s">
        <v>18</v>
      </c>
      <c r="G183" s="1">
        <v>1</v>
      </c>
      <c r="H183" s="1">
        <f t="shared" si="4"/>
        <v>33668</v>
      </c>
      <c r="I183" s="2">
        <v>33668</v>
      </c>
      <c r="J183" s="6">
        <v>0.19999999999999996</v>
      </c>
      <c r="K183" s="8">
        <v>26934.400000000001</v>
      </c>
      <c r="L183" s="2" t="s">
        <v>49</v>
      </c>
      <c r="M183" s="2" t="s">
        <v>26</v>
      </c>
      <c r="N183" s="4">
        <v>45246</v>
      </c>
      <c r="O183" s="3" t="str">
        <f t="shared" si="5"/>
        <v>Nov</v>
      </c>
      <c r="P183" s="13" t="s">
        <v>39</v>
      </c>
    </row>
    <row r="184" spans="1:16" x14ac:dyDescent="0.25">
      <c r="A184" s="10" t="s">
        <v>266</v>
      </c>
      <c r="B184" s="1" t="s">
        <v>114</v>
      </c>
      <c r="C184" s="1" t="s">
        <v>70</v>
      </c>
      <c r="D184" s="1" t="s">
        <v>16</v>
      </c>
      <c r="E184" s="1" t="s">
        <v>30</v>
      </c>
      <c r="F184" s="1" t="s">
        <v>31</v>
      </c>
      <c r="G184" s="1">
        <v>6</v>
      </c>
      <c r="H184" s="1">
        <f t="shared" si="4"/>
        <v>70038</v>
      </c>
      <c r="I184" s="1">
        <v>420228</v>
      </c>
      <c r="J184" s="6">
        <v>0.15000000000000002</v>
      </c>
      <c r="K184" s="7">
        <v>357193.8</v>
      </c>
      <c r="L184" s="1" t="s">
        <v>19</v>
      </c>
      <c r="M184" s="1" t="s">
        <v>64</v>
      </c>
      <c r="N184" s="3">
        <v>45274</v>
      </c>
      <c r="O184" s="3" t="str">
        <f t="shared" si="5"/>
        <v>Dec</v>
      </c>
      <c r="P184" s="12" t="s">
        <v>55</v>
      </c>
    </row>
    <row r="185" spans="1:16" x14ac:dyDescent="0.25">
      <c r="A185" s="11" t="s">
        <v>267</v>
      </c>
      <c r="B185" s="1" t="s">
        <v>62</v>
      </c>
      <c r="C185" s="2" t="s">
        <v>58</v>
      </c>
      <c r="D185" s="1" t="s">
        <v>29</v>
      </c>
      <c r="E185" s="1" t="s">
        <v>24</v>
      </c>
      <c r="F185" s="2" t="s">
        <v>25</v>
      </c>
      <c r="G185" s="1">
        <v>16</v>
      </c>
      <c r="H185" s="1">
        <f t="shared" si="4"/>
        <v>379511</v>
      </c>
      <c r="I185" s="2">
        <v>6072176</v>
      </c>
      <c r="J185" s="6">
        <v>0</v>
      </c>
      <c r="K185" s="8">
        <v>6072176</v>
      </c>
      <c r="L185" s="2" t="s">
        <v>37</v>
      </c>
      <c r="M185" s="2" t="s">
        <v>20</v>
      </c>
      <c r="N185" s="4">
        <v>45179</v>
      </c>
      <c r="O185" s="3" t="str">
        <f t="shared" si="5"/>
        <v>Sep</v>
      </c>
      <c r="P185" s="13" t="s">
        <v>39</v>
      </c>
    </row>
    <row r="186" spans="1:16" x14ac:dyDescent="0.25">
      <c r="A186" s="10" t="s">
        <v>268</v>
      </c>
      <c r="B186" s="1" t="s">
        <v>41</v>
      </c>
      <c r="C186" s="1" t="s">
        <v>70</v>
      </c>
      <c r="D186" s="1" t="s">
        <v>16</v>
      </c>
      <c r="E186" s="1" t="s">
        <v>24</v>
      </c>
      <c r="F186" s="1" t="s">
        <v>25</v>
      </c>
      <c r="G186" s="1">
        <v>8</v>
      </c>
      <c r="H186" s="1">
        <f t="shared" si="4"/>
        <v>70230</v>
      </c>
      <c r="I186" s="1">
        <v>561840</v>
      </c>
      <c r="J186" s="6">
        <v>0.2</v>
      </c>
      <c r="K186" s="7">
        <v>449472</v>
      </c>
      <c r="L186" s="1" t="s">
        <v>37</v>
      </c>
      <c r="M186" s="1" t="s">
        <v>20</v>
      </c>
      <c r="N186" s="3">
        <v>45177</v>
      </c>
      <c r="O186" s="3" t="str">
        <f t="shared" si="5"/>
        <v>Sep</v>
      </c>
      <c r="P186" s="12" t="s">
        <v>39</v>
      </c>
    </row>
    <row r="187" spans="1:16" x14ac:dyDescent="0.25">
      <c r="A187" s="11" t="s">
        <v>269</v>
      </c>
      <c r="B187" s="1" t="s">
        <v>119</v>
      </c>
      <c r="C187" s="2" t="s">
        <v>42</v>
      </c>
      <c r="D187" s="1" t="s">
        <v>29</v>
      </c>
      <c r="E187" s="1" t="s">
        <v>30</v>
      </c>
      <c r="F187" s="2" t="s">
        <v>125</v>
      </c>
      <c r="G187" s="1">
        <v>3</v>
      </c>
      <c r="H187" s="1">
        <f t="shared" si="4"/>
        <v>78051</v>
      </c>
      <c r="I187" s="2">
        <v>234153</v>
      </c>
      <c r="J187" s="6">
        <v>0.2</v>
      </c>
      <c r="K187" s="8">
        <v>187322.4</v>
      </c>
      <c r="L187" s="2" t="s">
        <v>19</v>
      </c>
      <c r="M187" s="2" t="s">
        <v>38</v>
      </c>
      <c r="N187" s="4">
        <v>44938</v>
      </c>
      <c r="O187" s="3" t="str">
        <f t="shared" si="5"/>
        <v>Jan</v>
      </c>
      <c r="P187" s="13" t="s">
        <v>77</v>
      </c>
    </row>
    <row r="188" spans="1:16" x14ac:dyDescent="0.25">
      <c r="A188" s="10" t="s">
        <v>270</v>
      </c>
      <c r="B188" s="1" t="s">
        <v>80</v>
      </c>
      <c r="C188" s="1" t="s">
        <v>81</v>
      </c>
      <c r="D188" s="1" t="s">
        <v>29</v>
      </c>
      <c r="E188" s="1" t="s">
        <v>35</v>
      </c>
      <c r="F188" s="1" t="s">
        <v>68</v>
      </c>
      <c r="G188" s="1">
        <v>13</v>
      </c>
      <c r="H188" s="1">
        <f t="shared" si="4"/>
        <v>69454</v>
      </c>
      <c r="I188" s="1">
        <v>902902</v>
      </c>
      <c r="J188" s="6">
        <v>0</v>
      </c>
      <c r="K188" s="7">
        <v>902902</v>
      </c>
      <c r="L188" s="1" t="s">
        <v>49</v>
      </c>
      <c r="M188" s="1" t="s">
        <v>38</v>
      </c>
      <c r="N188" s="3">
        <v>45011</v>
      </c>
      <c r="O188" s="3" t="str">
        <f t="shared" si="5"/>
        <v>Mar</v>
      </c>
      <c r="P188" s="12" t="s">
        <v>74</v>
      </c>
    </row>
    <row r="189" spans="1:16" x14ac:dyDescent="0.25">
      <c r="A189" s="11" t="s">
        <v>271</v>
      </c>
      <c r="B189" s="1" t="s">
        <v>157</v>
      </c>
      <c r="C189" s="2" t="s">
        <v>54</v>
      </c>
      <c r="D189" s="1" t="s">
        <v>29</v>
      </c>
      <c r="E189" s="1" t="s">
        <v>43</v>
      </c>
      <c r="F189" s="2" t="s">
        <v>142</v>
      </c>
      <c r="G189" s="1">
        <v>12</v>
      </c>
      <c r="H189" s="1">
        <f t="shared" si="4"/>
        <v>379690</v>
      </c>
      <c r="I189" s="2">
        <v>4556280</v>
      </c>
      <c r="J189" s="6">
        <v>0.2</v>
      </c>
      <c r="K189" s="8">
        <v>3645024</v>
      </c>
      <c r="L189" s="2" t="s">
        <v>60</v>
      </c>
      <c r="M189" s="2" t="s">
        <v>38</v>
      </c>
      <c r="N189" s="4">
        <v>45232</v>
      </c>
      <c r="O189" s="3" t="str">
        <f t="shared" si="5"/>
        <v>Nov</v>
      </c>
      <c r="P189" s="13" t="s">
        <v>39</v>
      </c>
    </row>
    <row r="190" spans="1:16" x14ac:dyDescent="0.25">
      <c r="A190" s="10" t="s">
        <v>272</v>
      </c>
      <c r="B190" s="1" t="s">
        <v>41</v>
      </c>
      <c r="C190" s="1" t="s">
        <v>58</v>
      </c>
      <c r="D190" s="1" t="s">
        <v>29</v>
      </c>
      <c r="E190" s="1" t="s">
        <v>24</v>
      </c>
      <c r="F190" s="1" t="s">
        <v>25</v>
      </c>
      <c r="G190" s="1">
        <v>7</v>
      </c>
      <c r="H190" s="1">
        <f t="shared" si="4"/>
        <v>450260</v>
      </c>
      <c r="I190" s="1">
        <v>3151820</v>
      </c>
      <c r="J190" s="6">
        <v>0.2</v>
      </c>
      <c r="K190" s="7">
        <v>2521456</v>
      </c>
      <c r="L190" s="1" t="s">
        <v>19</v>
      </c>
      <c r="M190" s="1" t="s">
        <v>26</v>
      </c>
      <c r="N190" s="3">
        <v>44979</v>
      </c>
      <c r="O190" s="3" t="str">
        <f t="shared" si="5"/>
        <v>Feb</v>
      </c>
      <c r="P190" s="12" t="s">
        <v>122</v>
      </c>
    </row>
    <row r="191" spans="1:16" x14ac:dyDescent="0.25">
      <c r="A191" s="11" t="s">
        <v>273</v>
      </c>
      <c r="B191" s="1" t="s">
        <v>53</v>
      </c>
      <c r="C191" s="2" t="s">
        <v>63</v>
      </c>
      <c r="D191" s="1" t="s">
        <v>29</v>
      </c>
      <c r="E191" s="1" t="s">
        <v>35</v>
      </c>
      <c r="F191" s="2" t="s">
        <v>108</v>
      </c>
      <c r="G191" s="1">
        <v>12</v>
      </c>
      <c r="H191" s="1">
        <f t="shared" si="4"/>
        <v>430298</v>
      </c>
      <c r="I191" s="2">
        <v>5163576</v>
      </c>
      <c r="J191" s="6">
        <v>9.9999999999999922E-2</v>
      </c>
      <c r="K191" s="8">
        <v>4647218.4000000004</v>
      </c>
      <c r="L191" s="2" t="s">
        <v>19</v>
      </c>
      <c r="M191" s="2" t="s">
        <v>38</v>
      </c>
      <c r="N191" s="4">
        <v>45003</v>
      </c>
      <c r="O191" s="3" t="str">
        <f t="shared" si="5"/>
        <v>Mar</v>
      </c>
      <c r="P191" s="13" t="s">
        <v>39</v>
      </c>
    </row>
    <row r="192" spans="1:16" x14ac:dyDescent="0.25">
      <c r="A192" s="10" t="s">
        <v>274</v>
      </c>
      <c r="B192" s="1" t="s">
        <v>101</v>
      </c>
      <c r="C192" s="1" t="s">
        <v>81</v>
      </c>
      <c r="D192" s="1" t="s">
        <v>212</v>
      </c>
      <c r="E192" s="1" t="s">
        <v>43</v>
      </c>
      <c r="F192" s="1" t="s">
        <v>44</v>
      </c>
      <c r="G192" s="1">
        <v>9</v>
      </c>
      <c r="H192" s="1">
        <f t="shared" si="4"/>
        <v>49375</v>
      </c>
      <c r="I192" s="1">
        <v>444375</v>
      </c>
      <c r="J192" s="6">
        <v>0.2</v>
      </c>
      <c r="K192" s="7">
        <v>355500</v>
      </c>
      <c r="L192" s="1" t="s">
        <v>49</v>
      </c>
      <c r="M192" s="1" t="s">
        <v>20</v>
      </c>
      <c r="N192" s="3">
        <v>45258</v>
      </c>
      <c r="O192" s="3" t="str">
        <f t="shared" si="5"/>
        <v>Nov</v>
      </c>
      <c r="P192" s="12" t="s">
        <v>32</v>
      </c>
    </row>
    <row r="193" spans="1:16" x14ac:dyDescent="0.25">
      <c r="A193" s="11" t="s">
        <v>275</v>
      </c>
      <c r="B193" s="1" t="s">
        <v>103</v>
      </c>
      <c r="C193" s="2" t="s">
        <v>63</v>
      </c>
      <c r="D193" s="1" t="s">
        <v>29</v>
      </c>
      <c r="E193" s="1" t="s">
        <v>35</v>
      </c>
      <c r="F193" s="2" t="s">
        <v>31</v>
      </c>
      <c r="G193" s="1">
        <v>13</v>
      </c>
      <c r="H193" s="1">
        <f t="shared" si="4"/>
        <v>478472</v>
      </c>
      <c r="I193" s="2">
        <v>6220136</v>
      </c>
      <c r="J193" s="6">
        <v>0.20000000000000004</v>
      </c>
      <c r="K193" s="8">
        <v>4976108.8</v>
      </c>
      <c r="L193" s="2" t="s">
        <v>37</v>
      </c>
      <c r="M193" s="2" t="s">
        <v>38</v>
      </c>
      <c r="N193" s="4">
        <v>45026</v>
      </c>
      <c r="O193" s="3" t="str">
        <f t="shared" si="5"/>
        <v>Apr</v>
      </c>
      <c r="P193" s="13" t="s">
        <v>65</v>
      </c>
    </row>
    <row r="194" spans="1:16" x14ac:dyDescent="0.25">
      <c r="A194" s="10" t="s">
        <v>276</v>
      </c>
      <c r="B194" s="1" t="s">
        <v>103</v>
      </c>
      <c r="C194" s="1" t="s">
        <v>15</v>
      </c>
      <c r="D194" s="1" t="s">
        <v>16</v>
      </c>
      <c r="E194" s="1" t="s">
        <v>24</v>
      </c>
      <c r="F194" s="1" t="s">
        <v>48</v>
      </c>
      <c r="G194" s="1">
        <v>1</v>
      </c>
      <c r="H194" s="1">
        <f t="shared" ref="H194:H257" si="6">I194/G194</f>
        <v>40054</v>
      </c>
      <c r="I194" s="1">
        <v>40054</v>
      </c>
      <c r="J194" s="6">
        <v>0</v>
      </c>
      <c r="K194" s="7">
        <v>40054</v>
      </c>
      <c r="L194" s="1" t="s">
        <v>19</v>
      </c>
      <c r="M194" s="1" t="s">
        <v>20</v>
      </c>
      <c r="N194" s="3">
        <v>44932</v>
      </c>
      <c r="O194" s="3" t="str">
        <f t="shared" si="5"/>
        <v>Jan</v>
      </c>
      <c r="P194" s="12" t="s">
        <v>21</v>
      </c>
    </row>
    <row r="195" spans="1:16" x14ac:dyDescent="0.25">
      <c r="A195" s="11" t="s">
        <v>277</v>
      </c>
      <c r="B195" s="1" t="s">
        <v>101</v>
      </c>
      <c r="C195" s="2" t="s">
        <v>47</v>
      </c>
      <c r="D195" s="1" t="s">
        <v>212</v>
      </c>
      <c r="E195" s="1" t="s">
        <v>35</v>
      </c>
      <c r="F195" s="2" t="s">
        <v>108</v>
      </c>
      <c r="G195" s="1">
        <v>6</v>
      </c>
      <c r="H195" s="1">
        <f t="shared" si="6"/>
        <v>16382</v>
      </c>
      <c r="I195" s="2">
        <v>98292</v>
      </c>
      <c r="J195" s="6">
        <v>9.9999999999999964E-2</v>
      </c>
      <c r="K195" s="8">
        <v>88462.8</v>
      </c>
      <c r="L195" s="2" t="s">
        <v>37</v>
      </c>
      <c r="M195" s="2" t="s">
        <v>26</v>
      </c>
      <c r="N195" s="4">
        <v>45117</v>
      </c>
      <c r="O195" s="3" t="str">
        <f t="shared" ref="O195:O258" si="7">TEXT(N195,"mmm")</f>
        <v>Jul</v>
      </c>
      <c r="P195" s="13" t="s">
        <v>32</v>
      </c>
    </row>
    <row r="196" spans="1:16" x14ac:dyDescent="0.25">
      <c r="A196" s="10" t="s">
        <v>278</v>
      </c>
      <c r="B196" s="1" t="s">
        <v>114</v>
      </c>
      <c r="C196" s="1" t="s">
        <v>15</v>
      </c>
      <c r="D196" s="1" t="s">
        <v>16</v>
      </c>
      <c r="E196" s="1" t="s">
        <v>43</v>
      </c>
      <c r="F196" s="1" t="s">
        <v>98</v>
      </c>
      <c r="G196" s="1">
        <v>9</v>
      </c>
      <c r="H196" s="1">
        <f t="shared" si="6"/>
        <v>141598.66666666666</v>
      </c>
      <c r="I196" s="1">
        <v>1274388</v>
      </c>
      <c r="J196" s="6">
        <v>0.10000000000000003</v>
      </c>
      <c r="K196" s="7">
        <v>1146949.2</v>
      </c>
      <c r="L196" s="1" t="s">
        <v>60</v>
      </c>
      <c r="M196" s="1" t="s">
        <v>64</v>
      </c>
      <c r="N196" s="3">
        <v>45207</v>
      </c>
      <c r="O196" s="3" t="str">
        <f t="shared" si="7"/>
        <v>Oct</v>
      </c>
      <c r="P196" s="12" t="s">
        <v>77</v>
      </c>
    </row>
    <row r="197" spans="1:16" x14ac:dyDescent="0.25">
      <c r="A197" s="11" t="s">
        <v>279</v>
      </c>
      <c r="B197" s="1" t="s">
        <v>103</v>
      </c>
      <c r="C197" s="2" t="s">
        <v>58</v>
      </c>
      <c r="D197" s="1" t="s">
        <v>29</v>
      </c>
      <c r="E197" s="1" t="s">
        <v>43</v>
      </c>
      <c r="F197" s="2" t="s">
        <v>142</v>
      </c>
      <c r="G197" s="1">
        <v>20</v>
      </c>
      <c r="H197" s="1">
        <f t="shared" si="6"/>
        <v>231030</v>
      </c>
      <c r="I197" s="2">
        <v>4620600</v>
      </c>
      <c r="J197" s="6">
        <v>0.05</v>
      </c>
      <c r="K197" s="8">
        <v>4389570</v>
      </c>
      <c r="L197" s="2" t="s">
        <v>37</v>
      </c>
      <c r="M197" s="2" t="s">
        <v>64</v>
      </c>
      <c r="N197" s="4">
        <v>45009</v>
      </c>
      <c r="O197" s="3" t="str">
        <f t="shared" si="7"/>
        <v>Mar</v>
      </c>
      <c r="P197" s="13" t="s">
        <v>77</v>
      </c>
    </row>
    <row r="198" spans="1:16" x14ac:dyDescent="0.25">
      <c r="A198" s="10" t="s">
        <v>280</v>
      </c>
      <c r="B198" s="1" t="s">
        <v>41</v>
      </c>
      <c r="C198" s="1" t="s">
        <v>81</v>
      </c>
      <c r="D198" s="1" t="s">
        <v>29</v>
      </c>
      <c r="E198" s="1" t="s">
        <v>35</v>
      </c>
      <c r="F198" s="1" t="s">
        <v>68</v>
      </c>
      <c r="G198" s="1">
        <v>9</v>
      </c>
      <c r="H198" s="1">
        <f t="shared" si="6"/>
        <v>37098</v>
      </c>
      <c r="I198" s="1">
        <v>333882</v>
      </c>
      <c r="J198" s="6">
        <v>4.9999999999999933E-2</v>
      </c>
      <c r="K198" s="7">
        <v>317187.90000000002</v>
      </c>
      <c r="L198" s="1" t="s">
        <v>49</v>
      </c>
      <c r="M198" s="1" t="s">
        <v>64</v>
      </c>
      <c r="N198" s="3">
        <v>45213</v>
      </c>
      <c r="O198" s="3" t="str">
        <f t="shared" si="7"/>
        <v>Oct</v>
      </c>
      <c r="P198" s="12" t="s">
        <v>39</v>
      </c>
    </row>
    <row r="199" spans="1:16" x14ac:dyDescent="0.25">
      <c r="A199" s="10" t="s">
        <v>281</v>
      </c>
      <c r="B199" s="1" t="s">
        <v>41</v>
      </c>
      <c r="C199" s="1" t="s">
        <v>15</v>
      </c>
      <c r="D199" s="1" t="s">
        <v>16</v>
      </c>
      <c r="E199" s="1" t="s">
        <v>24</v>
      </c>
      <c r="F199" s="1" t="s">
        <v>71</v>
      </c>
      <c r="G199" s="1">
        <v>11</v>
      </c>
      <c r="H199" s="1">
        <f t="shared" si="6"/>
        <v>36051</v>
      </c>
      <c r="I199" s="1">
        <v>396561</v>
      </c>
      <c r="J199" s="6">
        <v>9.9999999999999936E-2</v>
      </c>
      <c r="K199" s="7">
        <v>356904.9</v>
      </c>
      <c r="L199" s="1" t="s">
        <v>60</v>
      </c>
      <c r="M199" s="1" t="s">
        <v>26</v>
      </c>
      <c r="N199" s="3">
        <v>45174</v>
      </c>
      <c r="O199" s="3" t="str">
        <f t="shared" si="7"/>
        <v>Sep</v>
      </c>
      <c r="P199" s="12" t="s">
        <v>39</v>
      </c>
    </row>
    <row r="200" spans="1:16" x14ac:dyDescent="0.25">
      <c r="A200" s="11" t="s">
        <v>282</v>
      </c>
      <c r="B200" s="1" t="s">
        <v>702</v>
      </c>
      <c r="C200" s="2" t="s">
        <v>63</v>
      </c>
      <c r="D200" s="1" t="s">
        <v>29</v>
      </c>
      <c r="E200" s="1" t="s">
        <v>30</v>
      </c>
      <c r="F200" s="2" t="s">
        <v>59</v>
      </c>
      <c r="G200" s="1">
        <v>15</v>
      </c>
      <c r="H200" s="1">
        <f t="shared" si="6"/>
        <v>231162</v>
      </c>
      <c r="I200" s="2">
        <v>3467430</v>
      </c>
      <c r="J200" s="6">
        <v>0</v>
      </c>
      <c r="K200" s="8">
        <v>3467430</v>
      </c>
      <c r="L200" s="2" t="s">
        <v>49</v>
      </c>
      <c r="M200" s="2" t="s">
        <v>20</v>
      </c>
      <c r="N200" s="4">
        <v>45164</v>
      </c>
      <c r="O200" s="3" t="str">
        <f t="shared" si="7"/>
        <v>Aug</v>
      </c>
      <c r="P200" s="13" t="s">
        <v>74</v>
      </c>
    </row>
    <row r="201" spans="1:16" x14ac:dyDescent="0.25">
      <c r="A201" s="10" t="s">
        <v>283</v>
      </c>
      <c r="B201" s="1" t="s">
        <v>103</v>
      </c>
      <c r="C201" s="1" t="s">
        <v>15</v>
      </c>
      <c r="D201" s="1" t="s">
        <v>16</v>
      </c>
      <c r="E201" s="1" t="s">
        <v>35</v>
      </c>
      <c r="F201" s="1" t="s">
        <v>68</v>
      </c>
      <c r="G201" s="1">
        <v>8</v>
      </c>
      <c r="H201" s="1">
        <f t="shared" si="6"/>
        <v>22109</v>
      </c>
      <c r="I201" s="1">
        <v>176872</v>
      </c>
      <c r="J201" s="6">
        <v>0</v>
      </c>
      <c r="K201" s="7">
        <v>176872</v>
      </c>
      <c r="L201" s="1" t="s">
        <v>49</v>
      </c>
      <c r="M201" s="1" t="s">
        <v>20</v>
      </c>
      <c r="N201" s="3">
        <v>44972</v>
      </c>
      <c r="O201" s="3" t="str">
        <f t="shared" si="7"/>
        <v>Feb</v>
      </c>
      <c r="P201" s="12" t="s">
        <v>74</v>
      </c>
    </row>
    <row r="202" spans="1:16" x14ac:dyDescent="0.25">
      <c r="A202" s="11" t="s">
        <v>284</v>
      </c>
      <c r="B202" s="1" t="s">
        <v>107</v>
      </c>
      <c r="C202" s="2" t="s">
        <v>54</v>
      </c>
      <c r="D202" s="1" t="s">
        <v>29</v>
      </c>
      <c r="E202" s="1" t="s">
        <v>30</v>
      </c>
      <c r="F202" s="2" t="s">
        <v>31</v>
      </c>
      <c r="G202" s="1">
        <v>3</v>
      </c>
      <c r="H202" s="1">
        <f t="shared" si="6"/>
        <v>311361</v>
      </c>
      <c r="I202" s="2">
        <v>934083</v>
      </c>
      <c r="J202" s="6">
        <v>0.10000000000000005</v>
      </c>
      <c r="K202" s="8">
        <v>840674.7</v>
      </c>
      <c r="L202" s="2" t="s">
        <v>19</v>
      </c>
      <c r="M202" s="2" t="s">
        <v>64</v>
      </c>
      <c r="N202" s="4">
        <v>44979</v>
      </c>
      <c r="O202" s="3" t="str">
        <f t="shared" si="7"/>
        <v>Feb</v>
      </c>
      <c r="P202" s="13" t="s">
        <v>77</v>
      </c>
    </row>
    <row r="203" spans="1:16" x14ac:dyDescent="0.25">
      <c r="A203" s="10" t="s">
        <v>285</v>
      </c>
      <c r="B203" s="1" t="s">
        <v>53</v>
      </c>
      <c r="C203" s="1" t="s">
        <v>15</v>
      </c>
      <c r="D203" s="1" t="s">
        <v>16</v>
      </c>
      <c r="E203" s="1" t="s">
        <v>17</v>
      </c>
      <c r="F203" s="1" t="s">
        <v>73</v>
      </c>
      <c r="G203" s="1">
        <v>9</v>
      </c>
      <c r="H203" s="1">
        <f t="shared" si="6"/>
        <v>15957</v>
      </c>
      <c r="I203" s="1">
        <v>143613</v>
      </c>
      <c r="J203" s="6">
        <v>0.10000000000000002</v>
      </c>
      <c r="K203" s="7">
        <v>129251.7</v>
      </c>
      <c r="L203" s="1" t="s">
        <v>60</v>
      </c>
      <c r="M203" s="1" t="s">
        <v>38</v>
      </c>
      <c r="N203" s="3">
        <v>45239</v>
      </c>
      <c r="O203" s="3" t="str">
        <f t="shared" si="7"/>
        <v>Nov</v>
      </c>
      <c r="P203" s="12" t="s">
        <v>45</v>
      </c>
    </row>
    <row r="204" spans="1:16" x14ac:dyDescent="0.25">
      <c r="A204" s="11" t="s">
        <v>286</v>
      </c>
      <c r="B204" s="1" t="s">
        <v>41</v>
      </c>
      <c r="C204" s="2" t="s">
        <v>54</v>
      </c>
      <c r="D204" s="1" t="s">
        <v>29</v>
      </c>
      <c r="E204" s="1" t="s">
        <v>43</v>
      </c>
      <c r="F204" s="2" t="s">
        <v>142</v>
      </c>
      <c r="G204" s="1">
        <v>18</v>
      </c>
      <c r="H204" s="1">
        <f t="shared" si="6"/>
        <v>497011</v>
      </c>
      <c r="I204" s="2">
        <v>8946198</v>
      </c>
      <c r="J204" s="6">
        <v>0.15000000000000002</v>
      </c>
      <c r="K204" s="8">
        <v>7604268.2999999998</v>
      </c>
      <c r="L204" s="2" t="s">
        <v>19</v>
      </c>
      <c r="M204" s="2" t="s">
        <v>38</v>
      </c>
      <c r="N204" s="4">
        <v>44945</v>
      </c>
      <c r="O204" s="3" t="str">
        <f t="shared" si="7"/>
        <v>Jan</v>
      </c>
      <c r="P204" s="13" t="s">
        <v>32</v>
      </c>
    </row>
    <row r="205" spans="1:16" x14ac:dyDescent="0.25">
      <c r="A205" s="10" t="s">
        <v>287</v>
      </c>
      <c r="B205" s="1" t="s">
        <v>62</v>
      </c>
      <c r="C205" s="1" t="s">
        <v>51</v>
      </c>
      <c r="D205" s="1" t="s">
        <v>16</v>
      </c>
      <c r="E205" s="1" t="s">
        <v>30</v>
      </c>
      <c r="F205" s="1" t="s">
        <v>125</v>
      </c>
      <c r="G205" s="1">
        <v>14</v>
      </c>
      <c r="H205" s="1">
        <f t="shared" si="6"/>
        <v>61438</v>
      </c>
      <c r="I205" s="1">
        <v>860132</v>
      </c>
      <c r="J205" s="6">
        <v>9.999999999999995E-2</v>
      </c>
      <c r="K205" s="7">
        <v>774118.8</v>
      </c>
      <c r="L205" s="1" t="s">
        <v>60</v>
      </c>
      <c r="M205" s="1" t="s">
        <v>26</v>
      </c>
      <c r="N205" s="3">
        <v>45193</v>
      </c>
      <c r="O205" s="3" t="str">
        <f t="shared" si="7"/>
        <v>Sep</v>
      </c>
      <c r="P205" s="12" t="s">
        <v>65</v>
      </c>
    </row>
    <row r="206" spans="1:16" x14ac:dyDescent="0.25">
      <c r="A206" s="11" t="s">
        <v>288</v>
      </c>
      <c r="B206" s="1" t="s">
        <v>85</v>
      </c>
      <c r="C206" s="2" t="s">
        <v>81</v>
      </c>
      <c r="D206" s="1" t="s">
        <v>29</v>
      </c>
      <c r="E206" s="1" t="s">
        <v>30</v>
      </c>
      <c r="F206" s="2" t="s">
        <v>31</v>
      </c>
      <c r="G206" s="1">
        <v>18</v>
      </c>
      <c r="H206" s="1">
        <f t="shared" si="6"/>
        <v>53176</v>
      </c>
      <c r="I206" s="2">
        <v>957168</v>
      </c>
      <c r="J206" s="6">
        <v>0</v>
      </c>
      <c r="K206" s="8">
        <v>957168</v>
      </c>
      <c r="L206" s="2" t="s">
        <v>60</v>
      </c>
      <c r="M206" s="2" t="s">
        <v>26</v>
      </c>
      <c r="N206" s="4">
        <v>45194</v>
      </c>
      <c r="O206" s="3" t="str">
        <f t="shared" si="7"/>
        <v>Sep</v>
      </c>
      <c r="P206" s="13" t="s">
        <v>74</v>
      </c>
    </row>
    <row r="207" spans="1:16" x14ac:dyDescent="0.25">
      <c r="A207" s="10" t="s">
        <v>289</v>
      </c>
      <c r="B207" s="1" t="s">
        <v>702</v>
      </c>
      <c r="C207" s="1" t="s">
        <v>70</v>
      </c>
      <c r="D207" s="1" t="s">
        <v>16</v>
      </c>
      <c r="E207" s="1" t="s">
        <v>30</v>
      </c>
      <c r="F207" s="1" t="s">
        <v>125</v>
      </c>
      <c r="G207" s="1">
        <v>16</v>
      </c>
      <c r="H207" s="1">
        <f t="shared" si="6"/>
        <v>75912</v>
      </c>
      <c r="I207" s="1">
        <v>1214592</v>
      </c>
      <c r="J207" s="6">
        <v>0</v>
      </c>
      <c r="K207" s="7">
        <v>1214592</v>
      </c>
      <c r="L207" s="1" t="s">
        <v>60</v>
      </c>
      <c r="M207" s="1" t="s">
        <v>20</v>
      </c>
      <c r="N207" s="3">
        <v>45040</v>
      </c>
      <c r="O207" s="3" t="str">
        <f t="shared" si="7"/>
        <v>Apr</v>
      </c>
      <c r="P207" s="12" t="s">
        <v>55</v>
      </c>
    </row>
    <row r="208" spans="1:16" x14ac:dyDescent="0.25">
      <c r="A208" s="11" t="s">
        <v>290</v>
      </c>
      <c r="B208" s="1" t="s">
        <v>107</v>
      </c>
      <c r="C208" s="2" t="s">
        <v>70</v>
      </c>
      <c r="D208" s="1" t="s">
        <v>16</v>
      </c>
      <c r="E208" s="1" t="s">
        <v>17</v>
      </c>
      <c r="F208" s="2" t="s">
        <v>73</v>
      </c>
      <c r="G208" s="1">
        <v>14</v>
      </c>
      <c r="H208" s="1">
        <f t="shared" si="6"/>
        <v>31724</v>
      </c>
      <c r="I208" s="2">
        <v>444136</v>
      </c>
      <c r="J208" s="6">
        <v>0.15000000000000005</v>
      </c>
      <c r="K208" s="8">
        <v>377515.6</v>
      </c>
      <c r="L208" s="2" t="s">
        <v>37</v>
      </c>
      <c r="M208" s="2" t="s">
        <v>64</v>
      </c>
      <c r="N208" s="4">
        <v>45058</v>
      </c>
      <c r="O208" s="3" t="str">
        <f t="shared" si="7"/>
        <v>May</v>
      </c>
      <c r="P208" s="13" t="s">
        <v>32</v>
      </c>
    </row>
    <row r="209" spans="1:16" x14ac:dyDescent="0.25">
      <c r="A209" s="10" t="s">
        <v>291</v>
      </c>
      <c r="B209" s="1" t="s">
        <v>101</v>
      </c>
      <c r="C209" s="1" t="s">
        <v>28</v>
      </c>
      <c r="D209" s="1" t="s">
        <v>29</v>
      </c>
      <c r="E209" s="1" t="s">
        <v>24</v>
      </c>
      <c r="F209" s="1" t="s">
        <v>71</v>
      </c>
      <c r="G209" s="1">
        <v>11</v>
      </c>
      <c r="H209" s="1">
        <f t="shared" si="6"/>
        <v>55939</v>
      </c>
      <c r="I209" s="1">
        <v>615329</v>
      </c>
      <c r="J209" s="6">
        <v>0.19999999999999998</v>
      </c>
      <c r="K209" s="7">
        <v>492263.2</v>
      </c>
      <c r="L209" s="1" t="s">
        <v>49</v>
      </c>
      <c r="M209" s="1" t="s">
        <v>20</v>
      </c>
      <c r="N209" s="3">
        <v>45105</v>
      </c>
      <c r="O209" s="3" t="str">
        <f t="shared" si="7"/>
        <v>Jun</v>
      </c>
      <c r="P209" s="12" t="s">
        <v>83</v>
      </c>
    </row>
    <row r="210" spans="1:16" x14ac:dyDescent="0.25">
      <c r="A210" s="11" t="s">
        <v>292</v>
      </c>
      <c r="B210" s="1" t="s">
        <v>119</v>
      </c>
      <c r="C210" s="2" t="s">
        <v>51</v>
      </c>
      <c r="D210" s="1" t="s">
        <v>16</v>
      </c>
      <c r="E210" s="1" t="s">
        <v>30</v>
      </c>
      <c r="F210" s="2" t="s">
        <v>125</v>
      </c>
      <c r="G210" s="1">
        <v>10</v>
      </c>
      <c r="H210" s="1">
        <f t="shared" si="6"/>
        <v>40041</v>
      </c>
      <c r="I210" s="2">
        <v>400410</v>
      </c>
      <c r="J210" s="6">
        <v>0.2</v>
      </c>
      <c r="K210" s="8">
        <v>320328</v>
      </c>
      <c r="L210" s="2" t="s">
        <v>37</v>
      </c>
      <c r="M210" s="2" t="s">
        <v>64</v>
      </c>
      <c r="N210" s="4">
        <v>45074</v>
      </c>
      <c r="O210" s="3" t="str">
        <f t="shared" si="7"/>
        <v>May</v>
      </c>
      <c r="P210" s="13" t="s">
        <v>21</v>
      </c>
    </row>
    <row r="211" spans="1:16" x14ac:dyDescent="0.25">
      <c r="A211" s="10" t="s">
        <v>293</v>
      </c>
      <c r="B211" s="1" t="s">
        <v>114</v>
      </c>
      <c r="C211" s="1" t="s">
        <v>70</v>
      </c>
      <c r="D211" s="1" t="s">
        <v>16</v>
      </c>
      <c r="E211" s="1" t="s">
        <v>17</v>
      </c>
      <c r="F211" s="1" t="s">
        <v>18</v>
      </c>
      <c r="G211" s="1">
        <v>4</v>
      </c>
      <c r="H211" s="1">
        <f t="shared" si="6"/>
        <v>17704</v>
      </c>
      <c r="I211" s="1">
        <v>70816</v>
      </c>
      <c r="J211" s="6">
        <v>0.15000000000000002</v>
      </c>
      <c r="K211" s="7">
        <v>60193.599999999999</v>
      </c>
      <c r="L211" s="1" t="s">
        <v>37</v>
      </c>
      <c r="M211" s="1" t="s">
        <v>26</v>
      </c>
      <c r="N211" s="3">
        <v>44969</v>
      </c>
      <c r="O211" s="3" t="str">
        <f t="shared" si="7"/>
        <v>Feb</v>
      </c>
      <c r="P211" s="12" t="s">
        <v>55</v>
      </c>
    </row>
    <row r="212" spans="1:16" x14ac:dyDescent="0.25">
      <c r="A212" s="11" t="s">
        <v>294</v>
      </c>
      <c r="B212" s="1" t="s">
        <v>67</v>
      </c>
      <c r="C212" s="2" t="s">
        <v>47</v>
      </c>
      <c r="D212" s="1" t="s">
        <v>16</v>
      </c>
      <c r="E212" s="1" t="s">
        <v>17</v>
      </c>
      <c r="F212" s="2" t="s">
        <v>73</v>
      </c>
      <c r="G212" s="1">
        <v>8</v>
      </c>
      <c r="H212" s="1">
        <f t="shared" si="6"/>
        <v>32096</v>
      </c>
      <c r="I212" s="2">
        <v>256768</v>
      </c>
      <c r="J212" s="6">
        <v>9.999999999999995E-2</v>
      </c>
      <c r="K212" s="8">
        <v>231091.20000000001</v>
      </c>
      <c r="L212" s="2" t="s">
        <v>49</v>
      </c>
      <c r="M212" s="2" t="s">
        <v>64</v>
      </c>
      <c r="N212" s="4">
        <v>45054</v>
      </c>
      <c r="O212" s="3" t="str">
        <f t="shared" si="7"/>
        <v>May</v>
      </c>
      <c r="P212" s="13" t="s">
        <v>21</v>
      </c>
    </row>
    <row r="213" spans="1:16" x14ac:dyDescent="0.25">
      <c r="A213" s="10" t="s">
        <v>295</v>
      </c>
      <c r="B213" s="1" t="s">
        <v>23</v>
      </c>
      <c r="C213" s="1" t="s">
        <v>70</v>
      </c>
      <c r="D213" s="1" t="s">
        <v>16</v>
      </c>
      <c r="E213" s="1" t="s">
        <v>30</v>
      </c>
      <c r="F213" s="1" t="s">
        <v>125</v>
      </c>
      <c r="G213" s="1">
        <v>6</v>
      </c>
      <c r="H213" s="1">
        <f t="shared" si="6"/>
        <v>10164</v>
      </c>
      <c r="I213" s="1">
        <v>60984</v>
      </c>
      <c r="J213" s="6">
        <v>0.20000000000000004</v>
      </c>
      <c r="K213" s="7">
        <v>48787.199999999997</v>
      </c>
      <c r="L213" s="1" t="s">
        <v>37</v>
      </c>
      <c r="M213" s="1" t="s">
        <v>20</v>
      </c>
      <c r="N213" s="3">
        <v>44930</v>
      </c>
      <c r="O213" s="3" t="str">
        <f t="shared" si="7"/>
        <v>Jan</v>
      </c>
      <c r="P213" s="12" t="s">
        <v>39</v>
      </c>
    </row>
    <row r="214" spans="1:16" x14ac:dyDescent="0.25">
      <c r="A214" s="11" t="s">
        <v>296</v>
      </c>
      <c r="B214" s="1" t="s">
        <v>41</v>
      </c>
      <c r="C214" s="2" t="s">
        <v>42</v>
      </c>
      <c r="D214" s="1" t="s">
        <v>29</v>
      </c>
      <c r="E214" s="1" t="s">
        <v>17</v>
      </c>
      <c r="F214" s="2" t="s">
        <v>73</v>
      </c>
      <c r="G214" s="1">
        <v>2</v>
      </c>
      <c r="H214" s="1">
        <f t="shared" si="6"/>
        <v>42601</v>
      </c>
      <c r="I214" s="2">
        <v>85202</v>
      </c>
      <c r="J214" s="6">
        <v>0.15000000000000002</v>
      </c>
      <c r="K214" s="8">
        <v>72421.7</v>
      </c>
      <c r="L214" s="2" t="s">
        <v>37</v>
      </c>
      <c r="M214" s="2" t="s">
        <v>26</v>
      </c>
      <c r="N214" s="4">
        <v>44936</v>
      </c>
      <c r="O214" s="3" t="str">
        <f t="shared" si="7"/>
        <v>Jan</v>
      </c>
      <c r="P214" s="13" t="s">
        <v>55</v>
      </c>
    </row>
    <row r="215" spans="1:16" x14ac:dyDescent="0.25">
      <c r="A215" s="10" t="s">
        <v>297</v>
      </c>
      <c r="B215" s="1" t="s">
        <v>57</v>
      </c>
      <c r="C215" s="1" t="s">
        <v>81</v>
      </c>
      <c r="D215" s="1" t="s">
        <v>29</v>
      </c>
      <c r="E215" s="1" t="s">
        <v>30</v>
      </c>
      <c r="F215" s="1" t="s">
        <v>125</v>
      </c>
      <c r="G215" s="1">
        <v>15</v>
      </c>
      <c r="H215" s="1">
        <f t="shared" si="6"/>
        <v>6493</v>
      </c>
      <c r="I215" s="1">
        <v>97395</v>
      </c>
      <c r="J215" s="6">
        <v>0.1</v>
      </c>
      <c r="K215" s="7">
        <v>87655.5</v>
      </c>
      <c r="L215" s="1" t="s">
        <v>702</v>
      </c>
      <c r="M215" s="1" t="s">
        <v>20</v>
      </c>
      <c r="N215" s="3">
        <v>45072</v>
      </c>
      <c r="O215" s="3" t="str">
        <f t="shared" si="7"/>
        <v>May</v>
      </c>
      <c r="P215" s="12" t="s">
        <v>55</v>
      </c>
    </row>
    <row r="216" spans="1:16" x14ac:dyDescent="0.25">
      <c r="A216" s="11" t="s">
        <v>298</v>
      </c>
      <c r="B216" s="1" t="s">
        <v>103</v>
      </c>
      <c r="C216" s="2" t="s">
        <v>63</v>
      </c>
      <c r="D216" s="1" t="s">
        <v>29</v>
      </c>
      <c r="E216" s="1" t="s">
        <v>35</v>
      </c>
      <c r="F216" s="2" t="s">
        <v>108</v>
      </c>
      <c r="G216" s="1">
        <v>13</v>
      </c>
      <c r="H216" s="1">
        <f t="shared" si="6"/>
        <v>379753</v>
      </c>
      <c r="I216" s="2">
        <v>4936789</v>
      </c>
      <c r="J216" s="6">
        <v>0.14999999999999991</v>
      </c>
      <c r="K216" s="8">
        <v>4196270.6500000004</v>
      </c>
      <c r="L216" s="2" t="s">
        <v>37</v>
      </c>
      <c r="M216" s="2" t="s">
        <v>26</v>
      </c>
      <c r="N216" s="4">
        <v>45095</v>
      </c>
      <c r="O216" s="3" t="str">
        <f t="shared" si="7"/>
        <v>Jun</v>
      </c>
      <c r="P216" s="13" t="s">
        <v>45</v>
      </c>
    </row>
    <row r="217" spans="1:16" x14ac:dyDescent="0.25">
      <c r="A217" s="11" t="s">
        <v>299</v>
      </c>
      <c r="B217" s="1" t="s">
        <v>41</v>
      </c>
      <c r="C217" s="2" t="s">
        <v>47</v>
      </c>
      <c r="D217" s="1" t="s">
        <v>16</v>
      </c>
      <c r="E217" s="1" t="s">
        <v>17</v>
      </c>
      <c r="F217" s="2" t="s">
        <v>73</v>
      </c>
      <c r="G217" s="1">
        <v>14</v>
      </c>
      <c r="H217" s="1">
        <f t="shared" si="6"/>
        <v>41264</v>
      </c>
      <c r="I217" s="2">
        <v>577696</v>
      </c>
      <c r="J217" s="6">
        <v>9.9999999999999964E-2</v>
      </c>
      <c r="K217" s="8">
        <v>519926.4</v>
      </c>
      <c r="L217" s="2" t="s">
        <v>19</v>
      </c>
      <c r="M217" s="2" t="s">
        <v>26</v>
      </c>
      <c r="N217" s="4">
        <v>45153</v>
      </c>
      <c r="O217" s="3" t="str">
        <f t="shared" si="7"/>
        <v>Aug</v>
      </c>
      <c r="P217" s="13" t="s">
        <v>77</v>
      </c>
    </row>
    <row r="218" spans="1:16" x14ac:dyDescent="0.25">
      <c r="A218" s="10" t="s">
        <v>300</v>
      </c>
      <c r="B218" s="1" t="s">
        <v>62</v>
      </c>
      <c r="C218" s="1" t="s">
        <v>47</v>
      </c>
      <c r="D218" s="1" t="s">
        <v>16</v>
      </c>
      <c r="E218" s="1" t="s">
        <v>17</v>
      </c>
      <c r="F218" s="1" t="s">
        <v>18</v>
      </c>
      <c r="G218" s="1">
        <v>4</v>
      </c>
      <c r="H218" s="1">
        <f t="shared" si="6"/>
        <v>74494</v>
      </c>
      <c r="I218" s="1">
        <v>297976</v>
      </c>
      <c r="J218" s="6">
        <v>0</v>
      </c>
      <c r="K218" s="7">
        <v>297976</v>
      </c>
      <c r="L218" s="1" t="s">
        <v>60</v>
      </c>
      <c r="M218" s="1" t="s">
        <v>26</v>
      </c>
      <c r="N218" s="3">
        <v>45252</v>
      </c>
      <c r="O218" s="3" t="str">
        <f t="shared" si="7"/>
        <v>Nov</v>
      </c>
      <c r="P218" s="12" t="s">
        <v>122</v>
      </c>
    </row>
    <row r="219" spans="1:16" x14ac:dyDescent="0.25">
      <c r="A219" s="11" t="s">
        <v>301</v>
      </c>
      <c r="B219" s="1" t="s">
        <v>103</v>
      </c>
      <c r="C219" s="2" t="s">
        <v>70</v>
      </c>
      <c r="D219" s="1" t="s">
        <v>16</v>
      </c>
      <c r="E219" s="1" t="s">
        <v>24</v>
      </c>
      <c r="F219" s="2" t="s">
        <v>71</v>
      </c>
      <c r="G219" s="1">
        <v>10</v>
      </c>
      <c r="H219" s="1">
        <f t="shared" si="6"/>
        <v>65784</v>
      </c>
      <c r="I219" s="2">
        <v>657840</v>
      </c>
      <c r="J219" s="6">
        <v>0.05</v>
      </c>
      <c r="K219" s="8">
        <v>624948</v>
      </c>
      <c r="L219" s="2" t="s">
        <v>19</v>
      </c>
      <c r="M219" s="2" t="s">
        <v>26</v>
      </c>
      <c r="N219" s="4">
        <v>45250</v>
      </c>
      <c r="O219" s="3" t="str">
        <f t="shared" si="7"/>
        <v>Nov</v>
      </c>
      <c r="P219" s="13" t="s">
        <v>74</v>
      </c>
    </row>
    <row r="220" spans="1:16" x14ac:dyDescent="0.25">
      <c r="A220" s="11" t="s">
        <v>302</v>
      </c>
      <c r="B220" s="1" t="s">
        <v>87</v>
      </c>
      <c r="C220" s="2" t="s">
        <v>70</v>
      </c>
      <c r="D220" s="1" t="s">
        <v>16</v>
      </c>
      <c r="E220" s="1" t="s">
        <v>35</v>
      </c>
      <c r="F220" s="2" t="s">
        <v>108</v>
      </c>
      <c r="G220" s="1">
        <v>3</v>
      </c>
      <c r="H220" s="1">
        <f t="shared" si="6"/>
        <v>26233</v>
      </c>
      <c r="I220" s="2">
        <v>78699</v>
      </c>
      <c r="J220" s="6">
        <v>9.9999999999999922E-2</v>
      </c>
      <c r="K220" s="8">
        <v>70829.100000000006</v>
      </c>
      <c r="L220" s="2" t="s">
        <v>19</v>
      </c>
      <c r="M220" s="2" t="s">
        <v>20</v>
      </c>
      <c r="N220" s="4">
        <v>45181</v>
      </c>
      <c r="O220" s="3" t="str">
        <f t="shared" si="7"/>
        <v>Sep</v>
      </c>
      <c r="P220" s="13" t="s">
        <v>74</v>
      </c>
    </row>
    <row r="221" spans="1:16" x14ac:dyDescent="0.25">
      <c r="A221" s="10" t="s">
        <v>303</v>
      </c>
      <c r="B221" s="1" t="s">
        <v>90</v>
      </c>
      <c r="C221" s="1" t="s">
        <v>42</v>
      </c>
      <c r="D221" s="1" t="s">
        <v>29</v>
      </c>
      <c r="E221" s="1" t="s">
        <v>17</v>
      </c>
      <c r="F221" s="1" t="s">
        <v>25</v>
      </c>
      <c r="G221" s="1">
        <v>20</v>
      </c>
      <c r="H221" s="1">
        <f t="shared" si="6"/>
        <v>49252</v>
      </c>
      <c r="I221" s="1">
        <v>985040</v>
      </c>
      <c r="J221" s="6">
        <v>0.2</v>
      </c>
      <c r="K221" s="7">
        <v>788032</v>
      </c>
      <c r="L221" s="1" t="s">
        <v>49</v>
      </c>
      <c r="M221" s="1" t="s">
        <v>64</v>
      </c>
      <c r="N221" s="3">
        <v>45255</v>
      </c>
      <c r="O221" s="3" t="str">
        <f t="shared" si="7"/>
        <v>Nov</v>
      </c>
      <c r="P221" s="12" t="s">
        <v>74</v>
      </c>
    </row>
    <row r="222" spans="1:16" x14ac:dyDescent="0.25">
      <c r="A222" s="11" t="s">
        <v>304</v>
      </c>
      <c r="B222" s="1" t="s">
        <v>62</v>
      </c>
      <c r="C222" s="2" t="s">
        <v>63</v>
      </c>
      <c r="D222" s="1" t="s">
        <v>29</v>
      </c>
      <c r="E222" s="1" t="s">
        <v>17</v>
      </c>
      <c r="F222" s="2" t="s">
        <v>36</v>
      </c>
      <c r="G222" s="1">
        <v>8</v>
      </c>
      <c r="H222" s="1">
        <f t="shared" si="6"/>
        <v>254522</v>
      </c>
      <c r="I222" s="2">
        <v>2036176</v>
      </c>
      <c r="J222" s="6">
        <v>0</v>
      </c>
      <c r="K222" s="8">
        <v>2036176</v>
      </c>
      <c r="L222" s="2" t="s">
        <v>60</v>
      </c>
      <c r="M222" s="2" t="s">
        <v>38</v>
      </c>
      <c r="N222" s="4">
        <v>45160</v>
      </c>
      <c r="O222" s="3" t="str">
        <f t="shared" si="7"/>
        <v>Aug</v>
      </c>
      <c r="P222" s="13" t="s">
        <v>55</v>
      </c>
    </row>
    <row r="223" spans="1:16" x14ac:dyDescent="0.25">
      <c r="A223" s="10" t="s">
        <v>305</v>
      </c>
      <c r="B223" s="1" t="s">
        <v>76</v>
      </c>
      <c r="C223" s="1" t="s">
        <v>15</v>
      </c>
      <c r="D223" s="1" t="s">
        <v>16</v>
      </c>
      <c r="E223" s="1" t="s">
        <v>17</v>
      </c>
      <c r="F223" s="1" t="s">
        <v>18</v>
      </c>
      <c r="G223" s="1">
        <v>19</v>
      </c>
      <c r="H223" s="1">
        <f t="shared" si="6"/>
        <v>75574</v>
      </c>
      <c r="I223" s="1">
        <v>1435906</v>
      </c>
      <c r="J223" s="6">
        <v>5.0000000000000031E-2</v>
      </c>
      <c r="K223" s="7">
        <v>1364110.7</v>
      </c>
      <c r="L223" s="1" t="s">
        <v>19</v>
      </c>
      <c r="M223" s="1" t="s">
        <v>26</v>
      </c>
      <c r="N223" s="3">
        <v>45275</v>
      </c>
      <c r="O223" s="3" t="str">
        <f t="shared" si="7"/>
        <v>Dec</v>
      </c>
      <c r="P223" s="12" t="s">
        <v>55</v>
      </c>
    </row>
    <row r="224" spans="1:16" x14ac:dyDescent="0.25">
      <c r="A224" s="11" t="s">
        <v>306</v>
      </c>
      <c r="B224" s="1" t="s">
        <v>107</v>
      </c>
      <c r="C224" s="2" t="s">
        <v>28</v>
      </c>
      <c r="D224" s="1" t="s">
        <v>29</v>
      </c>
      <c r="E224" s="1" t="s">
        <v>43</v>
      </c>
      <c r="F224" s="2" t="s">
        <v>98</v>
      </c>
      <c r="G224" s="1">
        <v>9</v>
      </c>
      <c r="H224" s="1">
        <f t="shared" si="6"/>
        <v>37406</v>
      </c>
      <c r="I224" s="2">
        <v>336654</v>
      </c>
      <c r="J224" s="6">
        <v>0.10000000000000007</v>
      </c>
      <c r="K224" s="8">
        <v>302988.59999999998</v>
      </c>
      <c r="L224" s="2" t="s">
        <v>60</v>
      </c>
      <c r="M224" s="2" t="s">
        <v>20</v>
      </c>
      <c r="N224" s="4">
        <v>44993</v>
      </c>
      <c r="O224" s="3" t="str">
        <f t="shared" si="7"/>
        <v>Mar</v>
      </c>
      <c r="P224" s="13" t="s">
        <v>65</v>
      </c>
    </row>
    <row r="225" spans="1:16" x14ac:dyDescent="0.25">
      <c r="A225" s="10" t="s">
        <v>307</v>
      </c>
      <c r="B225" s="1" t="s">
        <v>157</v>
      </c>
      <c r="C225" s="1" t="s">
        <v>28</v>
      </c>
      <c r="D225" s="1" t="s">
        <v>29</v>
      </c>
      <c r="E225" s="1" t="s">
        <v>30</v>
      </c>
      <c r="F225" s="1" t="s">
        <v>59</v>
      </c>
      <c r="G225" s="1">
        <v>18</v>
      </c>
      <c r="H225" s="1">
        <f t="shared" si="6"/>
        <v>25706</v>
      </c>
      <c r="I225" s="1">
        <v>462708</v>
      </c>
      <c r="J225" s="6">
        <v>0</v>
      </c>
      <c r="K225" s="7">
        <v>462708</v>
      </c>
      <c r="L225" s="1" t="s">
        <v>19</v>
      </c>
      <c r="M225" s="1" t="s">
        <v>26</v>
      </c>
      <c r="N225" s="3">
        <v>45181</v>
      </c>
      <c r="O225" s="3" t="str">
        <f t="shared" si="7"/>
        <v>Sep</v>
      </c>
      <c r="P225" s="12" t="s">
        <v>83</v>
      </c>
    </row>
    <row r="226" spans="1:16" x14ac:dyDescent="0.25">
      <c r="A226" s="11" t="s">
        <v>308</v>
      </c>
      <c r="B226" s="1" t="s">
        <v>157</v>
      </c>
      <c r="C226" s="2" t="s">
        <v>15</v>
      </c>
      <c r="D226" s="1" t="s">
        <v>16</v>
      </c>
      <c r="E226" s="1" t="s">
        <v>35</v>
      </c>
      <c r="F226" s="2" t="s">
        <v>108</v>
      </c>
      <c r="G226" s="1">
        <v>5</v>
      </c>
      <c r="H226" s="1">
        <f t="shared" si="6"/>
        <v>18848</v>
      </c>
      <c r="I226" s="2">
        <v>94240</v>
      </c>
      <c r="J226" s="6">
        <v>0.05</v>
      </c>
      <c r="K226" s="8">
        <v>89528</v>
      </c>
      <c r="L226" s="2" t="s">
        <v>19</v>
      </c>
      <c r="M226" s="2" t="s">
        <v>26</v>
      </c>
      <c r="N226" s="4">
        <f>N225</f>
        <v>45181</v>
      </c>
      <c r="O226" s="3" t="str">
        <f t="shared" si="7"/>
        <v>Sep</v>
      </c>
      <c r="P226" s="13" t="s">
        <v>77</v>
      </c>
    </row>
    <row r="227" spans="1:16" x14ac:dyDescent="0.25">
      <c r="A227" s="10" t="s">
        <v>309</v>
      </c>
      <c r="B227" s="1" t="s">
        <v>119</v>
      </c>
      <c r="C227" s="1" t="s">
        <v>51</v>
      </c>
      <c r="D227" s="1" t="s">
        <v>16</v>
      </c>
      <c r="E227" s="1" t="s">
        <v>43</v>
      </c>
      <c r="F227" s="1" t="s">
        <v>98</v>
      </c>
      <c r="G227" s="1">
        <v>15</v>
      </c>
      <c r="H227" s="1">
        <f t="shared" si="6"/>
        <v>8584</v>
      </c>
      <c r="I227" s="1">
        <v>128760</v>
      </c>
      <c r="J227" s="6">
        <v>0.15</v>
      </c>
      <c r="K227" s="7">
        <v>109446</v>
      </c>
      <c r="L227" s="1" t="s">
        <v>49</v>
      </c>
      <c r="M227" s="1" t="s">
        <v>26</v>
      </c>
      <c r="N227" s="3">
        <v>45256</v>
      </c>
      <c r="O227" s="3" t="str">
        <f t="shared" si="7"/>
        <v>Nov</v>
      </c>
      <c r="P227" s="12" t="s">
        <v>122</v>
      </c>
    </row>
    <row r="228" spans="1:16" x14ac:dyDescent="0.25">
      <c r="A228" s="11" t="s">
        <v>310</v>
      </c>
      <c r="B228" s="1" t="s">
        <v>114</v>
      </c>
      <c r="C228" s="2" t="s">
        <v>58</v>
      </c>
      <c r="D228" s="1" t="s">
        <v>29</v>
      </c>
      <c r="E228" s="1" t="s">
        <v>35</v>
      </c>
      <c r="F228" s="2" t="s">
        <v>68</v>
      </c>
      <c r="G228" s="1">
        <v>3</v>
      </c>
      <c r="H228" s="1">
        <f t="shared" si="6"/>
        <v>399690</v>
      </c>
      <c r="I228" s="2">
        <v>1199070</v>
      </c>
      <c r="J228" s="6">
        <v>0.15</v>
      </c>
      <c r="K228" s="8">
        <v>1019209.5</v>
      </c>
      <c r="L228" s="2" t="s">
        <v>49</v>
      </c>
      <c r="M228" s="2" t="s">
        <v>26</v>
      </c>
      <c r="N228" s="4">
        <v>45147</v>
      </c>
      <c r="O228" s="3" t="str">
        <f t="shared" si="7"/>
        <v>Aug</v>
      </c>
      <c r="P228" s="13" t="s">
        <v>74</v>
      </c>
    </row>
    <row r="229" spans="1:16" x14ac:dyDescent="0.25">
      <c r="A229" s="10" t="s">
        <v>311</v>
      </c>
      <c r="B229" s="1" t="s">
        <v>23</v>
      </c>
      <c r="C229" s="1" t="s">
        <v>63</v>
      </c>
      <c r="D229" s="1" t="s">
        <v>29</v>
      </c>
      <c r="E229" s="1" t="s">
        <v>43</v>
      </c>
      <c r="F229" s="1" t="s">
        <v>98</v>
      </c>
      <c r="G229" s="1">
        <v>12</v>
      </c>
      <c r="H229" s="1">
        <f t="shared" si="6"/>
        <v>401492</v>
      </c>
      <c r="I229" s="1">
        <v>4817904</v>
      </c>
      <c r="J229" s="6">
        <v>0.19999999999999996</v>
      </c>
      <c r="K229" s="7">
        <v>3854323.2</v>
      </c>
      <c r="L229" s="1" t="s">
        <v>19</v>
      </c>
      <c r="M229" s="1" t="s">
        <v>26</v>
      </c>
      <c r="N229" s="3">
        <v>45082</v>
      </c>
      <c r="O229" s="3" t="str">
        <f t="shared" si="7"/>
        <v>Jun</v>
      </c>
      <c r="P229" s="12" t="s">
        <v>39</v>
      </c>
    </row>
    <row r="230" spans="1:16" x14ac:dyDescent="0.25">
      <c r="A230" s="11" t="s">
        <v>312</v>
      </c>
      <c r="B230" s="1" t="s">
        <v>92</v>
      </c>
      <c r="C230" s="2" t="s">
        <v>54</v>
      </c>
      <c r="D230" s="1" t="s">
        <v>29</v>
      </c>
      <c r="E230" s="1" t="s">
        <v>43</v>
      </c>
      <c r="F230" s="2" t="s">
        <v>98</v>
      </c>
      <c r="G230" s="1">
        <v>8</v>
      </c>
      <c r="H230" s="1">
        <f t="shared" si="6"/>
        <v>384218</v>
      </c>
      <c r="I230" s="2">
        <v>3073744</v>
      </c>
      <c r="J230" s="6">
        <v>9.9999999999999964E-2</v>
      </c>
      <c r="K230" s="8">
        <v>2766369.6</v>
      </c>
      <c r="L230" s="2" t="s">
        <v>49</v>
      </c>
      <c r="M230" s="2" t="s">
        <v>20</v>
      </c>
      <c r="N230" s="4">
        <v>45271</v>
      </c>
      <c r="O230" s="3" t="str">
        <f t="shared" si="7"/>
        <v>Dec</v>
      </c>
      <c r="P230" s="13" t="s">
        <v>122</v>
      </c>
    </row>
    <row r="231" spans="1:16" x14ac:dyDescent="0.25">
      <c r="A231" s="10" t="s">
        <v>313</v>
      </c>
      <c r="B231" s="1" t="s">
        <v>95</v>
      </c>
      <c r="C231" s="1" t="s">
        <v>28</v>
      </c>
      <c r="D231" s="1" t="s">
        <v>29</v>
      </c>
      <c r="E231" s="1" t="s">
        <v>35</v>
      </c>
      <c r="F231" s="1" t="s">
        <v>68</v>
      </c>
      <c r="G231" s="1">
        <v>3</v>
      </c>
      <c r="H231" s="1">
        <f t="shared" si="6"/>
        <v>39290</v>
      </c>
      <c r="I231" s="1">
        <v>117870</v>
      </c>
      <c r="J231" s="6">
        <v>0.1</v>
      </c>
      <c r="K231" s="7">
        <v>106083</v>
      </c>
      <c r="L231" s="1" t="s">
        <v>60</v>
      </c>
      <c r="M231" s="1" t="s">
        <v>20</v>
      </c>
      <c r="N231" s="3">
        <v>45186</v>
      </c>
      <c r="O231" s="3" t="str">
        <f t="shared" si="7"/>
        <v>Sep</v>
      </c>
      <c r="P231" s="12" t="s">
        <v>74</v>
      </c>
    </row>
    <row r="232" spans="1:16" x14ac:dyDescent="0.25">
      <c r="A232" s="11" t="s">
        <v>314</v>
      </c>
      <c r="B232" s="1" t="s">
        <v>90</v>
      </c>
      <c r="C232" s="2" t="s">
        <v>28</v>
      </c>
      <c r="D232" s="1" t="s">
        <v>29</v>
      </c>
      <c r="E232" s="1" t="s">
        <v>35</v>
      </c>
      <c r="F232" s="2" t="s">
        <v>108</v>
      </c>
      <c r="G232" s="1">
        <v>7</v>
      </c>
      <c r="H232" s="1">
        <f t="shared" si="6"/>
        <v>59346</v>
      </c>
      <c r="I232" s="2">
        <v>415422</v>
      </c>
      <c r="J232" s="6">
        <v>0.14999999999999997</v>
      </c>
      <c r="K232" s="8">
        <v>353108.7</v>
      </c>
      <c r="L232" s="2" t="s">
        <v>19</v>
      </c>
      <c r="M232" s="2" t="s">
        <v>38</v>
      </c>
      <c r="N232" s="4">
        <v>44947</v>
      </c>
      <c r="O232" s="3" t="str">
        <f t="shared" si="7"/>
        <v>Jan</v>
      </c>
      <c r="P232" s="13" t="s">
        <v>122</v>
      </c>
    </row>
    <row r="233" spans="1:16" x14ac:dyDescent="0.25">
      <c r="A233" s="10" t="s">
        <v>315</v>
      </c>
      <c r="B233" s="1" t="s">
        <v>53</v>
      </c>
      <c r="C233" s="1" t="s">
        <v>58</v>
      </c>
      <c r="D233" s="1" t="s">
        <v>29</v>
      </c>
      <c r="E233" s="1" t="s">
        <v>24</v>
      </c>
      <c r="F233" s="1" t="s">
        <v>48</v>
      </c>
      <c r="G233" s="1">
        <v>6</v>
      </c>
      <c r="H233" s="1">
        <f t="shared" si="6"/>
        <v>790791.83333333337</v>
      </c>
      <c r="I233" s="1">
        <v>4744751</v>
      </c>
      <c r="J233" s="6">
        <v>4.9999999999999961E-2</v>
      </c>
      <c r="K233" s="7">
        <v>4507513.45</v>
      </c>
      <c r="L233" s="1" t="s">
        <v>37</v>
      </c>
      <c r="M233" s="1" t="s">
        <v>20</v>
      </c>
      <c r="N233" s="3">
        <v>45249</v>
      </c>
      <c r="O233" s="3" t="str">
        <f t="shared" si="7"/>
        <v>Nov</v>
      </c>
      <c r="P233" s="12" t="s">
        <v>55</v>
      </c>
    </row>
    <row r="234" spans="1:16" x14ac:dyDescent="0.25">
      <c r="A234" s="11" t="s">
        <v>316</v>
      </c>
      <c r="B234" s="1" t="s">
        <v>67</v>
      </c>
      <c r="C234" s="2" t="s">
        <v>42</v>
      </c>
      <c r="D234" s="1" t="s">
        <v>29</v>
      </c>
      <c r="E234" s="1" t="s">
        <v>35</v>
      </c>
      <c r="F234" s="2" t="s">
        <v>108</v>
      </c>
      <c r="G234" s="1">
        <v>6</v>
      </c>
      <c r="H234" s="1">
        <f t="shared" si="6"/>
        <v>61973</v>
      </c>
      <c r="I234" s="2">
        <v>371838</v>
      </c>
      <c r="J234" s="6">
        <v>9.9999999999999964E-2</v>
      </c>
      <c r="K234" s="8">
        <v>334654.2</v>
      </c>
      <c r="L234" s="2" t="s">
        <v>37</v>
      </c>
      <c r="M234" s="2" t="s">
        <v>64</v>
      </c>
      <c r="N234" s="4">
        <v>45175</v>
      </c>
      <c r="O234" s="3" t="str">
        <f t="shared" si="7"/>
        <v>Sep</v>
      </c>
      <c r="P234" s="13" t="s">
        <v>122</v>
      </c>
    </row>
    <row r="235" spans="1:16" x14ac:dyDescent="0.25">
      <c r="A235" s="10" t="s">
        <v>317</v>
      </c>
      <c r="B235" s="1" t="s">
        <v>23</v>
      </c>
      <c r="C235" s="1" t="s">
        <v>63</v>
      </c>
      <c r="D235" s="1" t="s">
        <v>29</v>
      </c>
      <c r="E235" s="1" t="s">
        <v>17</v>
      </c>
      <c r="F235" s="1" t="s">
        <v>18</v>
      </c>
      <c r="G235" s="1">
        <v>1</v>
      </c>
      <c r="H235" s="1">
        <f t="shared" si="6"/>
        <v>460874</v>
      </c>
      <c r="I235" s="1">
        <v>460874</v>
      </c>
      <c r="J235" s="6">
        <v>5.0000000000000024E-2</v>
      </c>
      <c r="K235" s="7">
        <v>437830.3</v>
      </c>
      <c r="L235" s="1" t="s">
        <v>49</v>
      </c>
      <c r="M235" s="1" t="s">
        <v>20</v>
      </c>
      <c r="N235" s="3">
        <v>45156</v>
      </c>
      <c r="O235" s="3" t="str">
        <f t="shared" si="7"/>
        <v>Aug</v>
      </c>
      <c r="P235" s="12" t="s">
        <v>83</v>
      </c>
    </row>
    <row r="236" spans="1:16" x14ac:dyDescent="0.25">
      <c r="A236" s="11" t="s">
        <v>318</v>
      </c>
      <c r="B236" s="1" t="s">
        <v>101</v>
      </c>
      <c r="C236" s="2" t="s">
        <v>47</v>
      </c>
      <c r="D236" s="1" t="s">
        <v>16</v>
      </c>
      <c r="E236" s="1" t="s">
        <v>30</v>
      </c>
      <c r="F236" s="2" t="s">
        <v>31</v>
      </c>
      <c r="G236" s="1">
        <v>3</v>
      </c>
      <c r="H236" s="1">
        <f t="shared" si="6"/>
        <v>9948</v>
      </c>
      <c r="I236" s="2">
        <v>29844</v>
      </c>
      <c r="J236" s="6">
        <v>0.14999999999999994</v>
      </c>
      <c r="K236" s="8">
        <v>25367.4</v>
      </c>
      <c r="L236" s="2" t="s">
        <v>19</v>
      </c>
      <c r="M236" s="2" t="s">
        <v>64</v>
      </c>
      <c r="N236" s="4">
        <v>45006</v>
      </c>
      <c r="O236" s="3" t="str">
        <f t="shared" si="7"/>
        <v>Mar</v>
      </c>
      <c r="P236" s="13" t="s">
        <v>83</v>
      </c>
    </row>
    <row r="237" spans="1:16" x14ac:dyDescent="0.25">
      <c r="A237" s="10" t="s">
        <v>319</v>
      </c>
      <c r="B237" s="1" t="s">
        <v>53</v>
      </c>
      <c r="C237" s="1" t="s">
        <v>47</v>
      </c>
      <c r="D237" s="1" t="s">
        <v>16</v>
      </c>
      <c r="E237" s="1" t="s">
        <v>35</v>
      </c>
      <c r="F237" s="1" t="s">
        <v>36</v>
      </c>
      <c r="G237" s="1">
        <v>11</v>
      </c>
      <c r="H237" s="1">
        <f t="shared" si="6"/>
        <v>57581</v>
      </c>
      <c r="I237" s="1">
        <v>633391</v>
      </c>
      <c r="J237" s="6">
        <v>9.9999999999999964E-2</v>
      </c>
      <c r="K237" s="7">
        <v>570051.9</v>
      </c>
      <c r="L237" s="1" t="s">
        <v>19</v>
      </c>
      <c r="M237" s="1" t="s">
        <v>38</v>
      </c>
      <c r="N237" s="3">
        <v>45246</v>
      </c>
      <c r="O237" s="3" t="str">
        <f t="shared" si="7"/>
        <v>Nov</v>
      </c>
      <c r="P237" s="12" t="s">
        <v>45</v>
      </c>
    </row>
    <row r="238" spans="1:16" x14ac:dyDescent="0.25">
      <c r="A238" s="11" t="s">
        <v>320</v>
      </c>
      <c r="B238" s="1" t="s">
        <v>90</v>
      </c>
      <c r="C238" s="2" t="s">
        <v>63</v>
      </c>
      <c r="D238" s="1" t="s">
        <v>29</v>
      </c>
      <c r="E238" s="1" t="s">
        <v>35</v>
      </c>
      <c r="F238" s="2" t="s">
        <v>108</v>
      </c>
      <c r="G238" s="1">
        <v>11</v>
      </c>
      <c r="H238" s="1">
        <f t="shared" si="6"/>
        <v>179388</v>
      </c>
      <c r="I238" s="2">
        <v>1973268</v>
      </c>
      <c r="J238" s="6">
        <v>0.10000000000000002</v>
      </c>
      <c r="K238" s="8">
        <v>1775941.2</v>
      </c>
      <c r="L238" s="2" t="s">
        <v>49</v>
      </c>
      <c r="M238" s="2" t="s">
        <v>38</v>
      </c>
      <c r="N238" s="4">
        <v>45252</v>
      </c>
      <c r="O238" s="3" t="str">
        <f t="shared" si="7"/>
        <v>Nov</v>
      </c>
      <c r="P238" s="13" t="s">
        <v>32</v>
      </c>
    </row>
    <row r="239" spans="1:16" x14ac:dyDescent="0.25">
      <c r="A239" s="10" t="s">
        <v>321</v>
      </c>
      <c r="B239" s="1" t="s">
        <v>101</v>
      </c>
      <c r="C239" s="1" t="s">
        <v>81</v>
      </c>
      <c r="D239" s="1" t="s">
        <v>29</v>
      </c>
      <c r="E239" s="1" t="s">
        <v>30</v>
      </c>
      <c r="F239" s="1" t="s">
        <v>125</v>
      </c>
      <c r="G239" s="1">
        <v>8</v>
      </c>
      <c r="H239" s="1">
        <f t="shared" si="6"/>
        <v>77789</v>
      </c>
      <c r="I239" s="1">
        <v>622312</v>
      </c>
      <c r="J239" s="6">
        <v>0.15000000000000008</v>
      </c>
      <c r="K239" s="7">
        <v>528965.19999999995</v>
      </c>
      <c r="L239" s="1" t="s">
        <v>60</v>
      </c>
      <c r="M239" s="1" t="s">
        <v>38</v>
      </c>
      <c r="N239" s="3">
        <v>45164</v>
      </c>
      <c r="O239" s="3" t="str">
        <f t="shared" si="7"/>
        <v>Aug</v>
      </c>
      <c r="P239" s="12" t="s">
        <v>39</v>
      </c>
    </row>
    <row r="240" spans="1:16" x14ac:dyDescent="0.25">
      <c r="A240" s="11" t="s">
        <v>322</v>
      </c>
      <c r="B240" s="1" t="s">
        <v>87</v>
      </c>
      <c r="C240" s="2" t="s">
        <v>47</v>
      </c>
      <c r="D240" s="1" t="s">
        <v>16</v>
      </c>
      <c r="E240" s="1" t="s">
        <v>24</v>
      </c>
      <c r="F240" s="2" t="s">
        <v>25</v>
      </c>
      <c r="G240" s="1">
        <v>6</v>
      </c>
      <c r="H240" s="1">
        <f t="shared" si="6"/>
        <v>58857</v>
      </c>
      <c r="I240" s="2">
        <v>353142</v>
      </c>
      <c r="J240" s="6">
        <v>0</v>
      </c>
      <c r="K240" s="8">
        <v>353142</v>
      </c>
      <c r="L240" s="2" t="s">
        <v>60</v>
      </c>
      <c r="M240" s="2" t="s">
        <v>38</v>
      </c>
      <c r="N240" s="4">
        <v>45006</v>
      </c>
      <c r="O240" s="3" t="str">
        <f t="shared" si="7"/>
        <v>Mar</v>
      </c>
      <c r="P240" s="13" t="s">
        <v>32</v>
      </c>
    </row>
    <row r="241" spans="1:16" x14ac:dyDescent="0.25">
      <c r="A241" s="10" t="s">
        <v>323</v>
      </c>
      <c r="B241" s="1" t="s">
        <v>101</v>
      </c>
      <c r="C241" s="1" t="s">
        <v>58</v>
      </c>
      <c r="D241" s="1" t="s">
        <v>29</v>
      </c>
      <c r="E241" s="1" t="s">
        <v>17</v>
      </c>
      <c r="F241" s="1" t="s">
        <v>82</v>
      </c>
      <c r="G241" s="1">
        <v>19</v>
      </c>
      <c r="H241" s="1">
        <f t="shared" si="6"/>
        <v>423208</v>
      </c>
      <c r="I241" s="1">
        <v>8040952</v>
      </c>
      <c r="J241" s="6">
        <v>4.9999999999999954E-2</v>
      </c>
      <c r="K241" s="7">
        <v>7638904.4000000004</v>
      </c>
      <c r="L241" s="1" t="s">
        <v>60</v>
      </c>
      <c r="M241" s="1" t="s">
        <v>20</v>
      </c>
      <c r="N241" s="3">
        <v>45174</v>
      </c>
      <c r="O241" s="3" t="str">
        <f t="shared" si="7"/>
        <v>Sep</v>
      </c>
      <c r="P241" s="12" t="s">
        <v>83</v>
      </c>
    </row>
    <row r="242" spans="1:16" x14ac:dyDescent="0.25">
      <c r="A242" s="11" t="s">
        <v>149</v>
      </c>
      <c r="B242" s="1" t="s">
        <v>57</v>
      </c>
      <c r="C242" s="2" t="s">
        <v>63</v>
      </c>
      <c r="D242" s="1" t="s">
        <v>212</v>
      </c>
      <c r="E242" s="1" t="s">
        <v>30</v>
      </c>
      <c r="F242" s="2" t="s">
        <v>125</v>
      </c>
      <c r="G242" s="1">
        <v>19</v>
      </c>
      <c r="H242" s="1">
        <f t="shared" si="6"/>
        <v>346768</v>
      </c>
      <c r="I242" s="2">
        <v>6588592</v>
      </c>
      <c r="J242" s="6">
        <v>0.14999999999999997</v>
      </c>
      <c r="K242" s="8">
        <v>5600303.2000000002</v>
      </c>
      <c r="L242" s="2" t="s">
        <v>60</v>
      </c>
      <c r="M242" s="2" t="s">
        <v>64</v>
      </c>
      <c r="N242" s="4">
        <v>45285</v>
      </c>
      <c r="O242" s="3" t="str">
        <f t="shared" si="7"/>
        <v>Dec</v>
      </c>
      <c r="P242" s="13" t="s">
        <v>65</v>
      </c>
    </row>
    <row r="243" spans="1:16" x14ac:dyDescent="0.25">
      <c r="A243" s="10" t="s">
        <v>324</v>
      </c>
      <c r="B243" s="1" t="s">
        <v>702</v>
      </c>
      <c r="C243" s="1" t="s">
        <v>51</v>
      </c>
      <c r="D243" s="1" t="s">
        <v>16</v>
      </c>
      <c r="E243" s="1" t="s">
        <v>35</v>
      </c>
      <c r="F243" s="1" t="s">
        <v>108</v>
      </c>
      <c r="G243" s="1">
        <v>5</v>
      </c>
      <c r="H243" s="1">
        <f t="shared" si="6"/>
        <v>9250</v>
      </c>
      <c r="I243" s="1">
        <v>46250</v>
      </c>
      <c r="J243" s="6">
        <v>0.2</v>
      </c>
      <c r="K243" s="7">
        <v>37000</v>
      </c>
      <c r="L243" s="1" t="s">
        <v>19</v>
      </c>
      <c r="M243" s="1" t="s">
        <v>64</v>
      </c>
      <c r="N243" s="3">
        <v>45017</v>
      </c>
      <c r="O243" s="3" t="str">
        <f t="shared" si="7"/>
        <v>Apr</v>
      </c>
      <c r="P243" s="12" t="s">
        <v>45</v>
      </c>
    </row>
    <row r="244" spans="1:16" x14ac:dyDescent="0.25">
      <c r="A244" s="11" t="s">
        <v>673</v>
      </c>
      <c r="B244" s="1" t="s">
        <v>67</v>
      </c>
      <c r="C244" s="2" t="s">
        <v>54</v>
      </c>
      <c r="D244" s="1" t="s">
        <v>29</v>
      </c>
      <c r="E244" s="1" t="s">
        <v>35</v>
      </c>
      <c r="F244" s="2" t="s">
        <v>68</v>
      </c>
      <c r="G244" s="1">
        <v>8</v>
      </c>
      <c r="H244" s="1">
        <f t="shared" si="6"/>
        <v>212102</v>
      </c>
      <c r="I244" s="2">
        <v>1696816</v>
      </c>
      <c r="J244" s="6">
        <v>0.19999999999999998</v>
      </c>
      <c r="K244" s="8">
        <v>1357452.8</v>
      </c>
      <c r="L244" s="2" t="s">
        <v>60</v>
      </c>
      <c r="M244" s="2" t="s">
        <v>26</v>
      </c>
      <c r="N244" s="4">
        <v>45153</v>
      </c>
      <c r="O244" s="3" t="str">
        <f t="shared" si="7"/>
        <v>Aug</v>
      </c>
      <c r="P244" s="13" t="s">
        <v>65</v>
      </c>
    </row>
    <row r="245" spans="1:16" x14ac:dyDescent="0.25">
      <c r="A245" s="10" t="s">
        <v>326</v>
      </c>
      <c r="B245" s="1" t="s">
        <v>103</v>
      </c>
      <c r="C245" s="1" t="s">
        <v>28</v>
      </c>
      <c r="D245" s="1" t="s">
        <v>29</v>
      </c>
      <c r="E245" s="1" t="s">
        <v>43</v>
      </c>
      <c r="F245" s="1" t="s">
        <v>142</v>
      </c>
      <c r="G245" s="1">
        <v>13</v>
      </c>
      <c r="H245" s="1">
        <f t="shared" si="6"/>
        <v>36188</v>
      </c>
      <c r="I245" s="1">
        <v>470444</v>
      </c>
      <c r="J245" s="6">
        <v>0.14999999999999994</v>
      </c>
      <c r="K245" s="7">
        <v>399877.4</v>
      </c>
      <c r="L245" s="1" t="s">
        <v>19</v>
      </c>
      <c r="M245" s="1" t="s">
        <v>64</v>
      </c>
      <c r="N245" s="3">
        <v>45180</v>
      </c>
      <c r="O245" s="3" t="str">
        <f t="shared" si="7"/>
        <v>Sep</v>
      </c>
      <c r="P245" s="12" t="s">
        <v>55</v>
      </c>
    </row>
    <row r="246" spans="1:16" x14ac:dyDescent="0.25">
      <c r="A246" s="11" t="s">
        <v>327</v>
      </c>
      <c r="B246" s="1" t="s">
        <v>41</v>
      </c>
      <c r="C246" s="2" t="s">
        <v>47</v>
      </c>
      <c r="D246" s="1" t="s">
        <v>16</v>
      </c>
      <c r="E246" s="1" t="s">
        <v>17</v>
      </c>
      <c r="F246" s="2" t="s">
        <v>73</v>
      </c>
      <c r="G246" s="1">
        <v>10</v>
      </c>
      <c r="H246" s="1">
        <f t="shared" si="6"/>
        <v>63085</v>
      </c>
      <c r="I246" s="2">
        <v>630850</v>
      </c>
      <c r="J246" s="6">
        <v>0.05</v>
      </c>
      <c r="K246" s="8">
        <v>599307.5</v>
      </c>
      <c r="L246" s="2" t="s">
        <v>60</v>
      </c>
      <c r="M246" s="2" t="s">
        <v>64</v>
      </c>
      <c r="N246" s="4">
        <v>44948</v>
      </c>
      <c r="O246" s="3" t="str">
        <f t="shared" si="7"/>
        <v>Jan</v>
      </c>
      <c r="P246" s="13" t="s">
        <v>77</v>
      </c>
    </row>
    <row r="247" spans="1:16" x14ac:dyDescent="0.25">
      <c r="A247" s="10" t="s">
        <v>328</v>
      </c>
      <c r="B247" s="1" t="s">
        <v>34</v>
      </c>
      <c r="C247" s="1" t="s">
        <v>51</v>
      </c>
      <c r="D247" s="1" t="s">
        <v>16</v>
      </c>
      <c r="E247" s="1" t="s">
        <v>17</v>
      </c>
      <c r="F247" s="1" t="s">
        <v>73</v>
      </c>
      <c r="G247" s="1">
        <v>18</v>
      </c>
      <c r="H247" s="1">
        <f t="shared" si="6"/>
        <v>32770</v>
      </c>
      <c r="I247" s="1">
        <v>589860</v>
      </c>
      <c r="J247" s="6">
        <v>0.05</v>
      </c>
      <c r="K247" s="7">
        <v>560367</v>
      </c>
      <c r="L247" s="1" t="s">
        <v>19</v>
      </c>
      <c r="M247" s="1" t="s">
        <v>26</v>
      </c>
      <c r="N247" s="3">
        <v>45223</v>
      </c>
      <c r="O247" s="3" t="str">
        <f t="shared" si="7"/>
        <v>Oct</v>
      </c>
      <c r="P247" s="12" t="s">
        <v>21</v>
      </c>
    </row>
    <row r="248" spans="1:16" x14ac:dyDescent="0.25">
      <c r="A248" s="11" t="s">
        <v>329</v>
      </c>
      <c r="B248" s="1" t="s">
        <v>101</v>
      </c>
      <c r="C248" s="2" t="s">
        <v>58</v>
      </c>
      <c r="D248" s="1" t="s">
        <v>29</v>
      </c>
      <c r="E248" s="1" t="s">
        <v>30</v>
      </c>
      <c r="F248" s="2" t="s">
        <v>31</v>
      </c>
      <c r="G248" s="1">
        <v>8</v>
      </c>
      <c r="H248" s="1">
        <f t="shared" si="6"/>
        <v>229538</v>
      </c>
      <c r="I248" s="2">
        <v>1836304</v>
      </c>
      <c r="J248" s="6">
        <v>9.999999999999995E-2</v>
      </c>
      <c r="K248" s="8">
        <v>1652673.6</v>
      </c>
      <c r="L248" s="2" t="s">
        <v>60</v>
      </c>
      <c r="M248" s="2" t="s">
        <v>64</v>
      </c>
      <c r="N248" s="4">
        <v>45273</v>
      </c>
      <c r="O248" s="3" t="str">
        <f t="shared" si="7"/>
        <v>Dec</v>
      </c>
      <c r="P248" s="13" t="s">
        <v>32</v>
      </c>
    </row>
    <row r="249" spans="1:16" x14ac:dyDescent="0.25">
      <c r="A249" s="10" t="s">
        <v>89</v>
      </c>
      <c r="B249" s="1" t="s">
        <v>90</v>
      </c>
      <c r="C249" s="1" t="s">
        <v>58</v>
      </c>
      <c r="D249" s="1" t="s">
        <v>29</v>
      </c>
      <c r="E249" s="1" t="s">
        <v>35</v>
      </c>
      <c r="F249" s="1" t="s">
        <v>68</v>
      </c>
      <c r="G249" s="1">
        <v>2</v>
      </c>
      <c r="H249" s="1">
        <f t="shared" si="6"/>
        <v>174842.5</v>
      </c>
      <c r="I249" s="1">
        <v>349685</v>
      </c>
      <c r="J249" s="6">
        <v>0.05</v>
      </c>
      <c r="K249" s="7">
        <v>332200.75</v>
      </c>
      <c r="L249" s="1" t="s">
        <v>49</v>
      </c>
      <c r="M249" s="1" t="s">
        <v>38</v>
      </c>
      <c r="N249" s="3">
        <v>45071</v>
      </c>
      <c r="O249" s="3" t="str">
        <f t="shared" si="7"/>
        <v>May</v>
      </c>
      <c r="P249" s="12" t="s">
        <v>21</v>
      </c>
    </row>
    <row r="250" spans="1:16" x14ac:dyDescent="0.25">
      <c r="A250" s="11" t="s">
        <v>330</v>
      </c>
      <c r="B250" s="1" t="s">
        <v>101</v>
      </c>
      <c r="C250" s="2" t="s">
        <v>81</v>
      </c>
      <c r="D250" s="1" t="s">
        <v>29</v>
      </c>
      <c r="E250" s="1" t="s">
        <v>24</v>
      </c>
      <c r="F250" s="2" t="s">
        <v>48</v>
      </c>
      <c r="G250" s="1">
        <v>13</v>
      </c>
      <c r="H250" s="1">
        <f t="shared" si="6"/>
        <v>29232</v>
      </c>
      <c r="I250" s="2">
        <v>380016</v>
      </c>
      <c r="J250" s="6">
        <v>9.9999999999999936E-2</v>
      </c>
      <c r="K250" s="8">
        <v>342014.4</v>
      </c>
      <c r="L250" s="2" t="s">
        <v>60</v>
      </c>
      <c r="M250" s="2" t="s">
        <v>26</v>
      </c>
      <c r="N250" s="4">
        <v>44935</v>
      </c>
      <c r="O250" s="3" t="str">
        <f t="shared" si="7"/>
        <v>Jan</v>
      </c>
      <c r="P250" s="13" t="s">
        <v>83</v>
      </c>
    </row>
    <row r="251" spans="1:16" x14ac:dyDescent="0.25">
      <c r="A251" s="10" t="s">
        <v>331</v>
      </c>
      <c r="B251" s="1" t="s">
        <v>114</v>
      </c>
      <c r="C251" s="1" t="s">
        <v>51</v>
      </c>
      <c r="D251" s="1" t="s">
        <v>16</v>
      </c>
      <c r="E251" s="1" t="s">
        <v>17</v>
      </c>
      <c r="F251" s="1" t="s">
        <v>125</v>
      </c>
      <c r="G251" s="1">
        <v>1</v>
      </c>
      <c r="H251" s="1">
        <f t="shared" si="6"/>
        <v>51805</v>
      </c>
      <c r="I251" s="1">
        <v>51805</v>
      </c>
      <c r="J251" s="6">
        <v>0</v>
      </c>
      <c r="K251" s="7">
        <v>51805</v>
      </c>
      <c r="L251" s="1" t="s">
        <v>49</v>
      </c>
      <c r="M251" s="1" t="s">
        <v>20</v>
      </c>
      <c r="N251" s="3">
        <v>44960</v>
      </c>
      <c r="O251" s="3" t="str">
        <f t="shared" si="7"/>
        <v>Feb</v>
      </c>
      <c r="P251" s="12" t="s">
        <v>77</v>
      </c>
    </row>
    <row r="252" spans="1:16" x14ac:dyDescent="0.25">
      <c r="A252" s="11" t="s">
        <v>332</v>
      </c>
      <c r="B252" s="1" t="s">
        <v>80</v>
      </c>
      <c r="C252" s="2" t="s">
        <v>70</v>
      </c>
      <c r="D252" s="1" t="s">
        <v>16</v>
      </c>
      <c r="E252" s="1" t="s">
        <v>35</v>
      </c>
      <c r="F252" s="2" t="s">
        <v>108</v>
      </c>
      <c r="G252" s="1">
        <v>15</v>
      </c>
      <c r="H252" s="1">
        <f t="shared" si="6"/>
        <v>15205</v>
      </c>
      <c r="I252" s="2">
        <v>228075</v>
      </c>
      <c r="J252" s="6">
        <v>0.1</v>
      </c>
      <c r="K252" s="8">
        <v>205267.5</v>
      </c>
      <c r="L252" s="2" t="s">
        <v>37</v>
      </c>
      <c r="M252" s="2" t="s">
        <v>26</v>
      </c>
      <c r="N252" s="4">
        <v>45021</v>
      </c>
      <c r="O252" s="3" t="str">
        <f t="shared" si="7"/>
        <v>Apr</v>
      </c>
      <c r="P252" s="13" t="s">
        <v>45</v>
      </c>
    </row>
    <row r="253" spans="1:16" x14ac:dyDescent="0.25">
      <c r="A253" s="10" t="s">
        <v>333</v>
      </c>
      <c r="B253" s="1" t="s">
        <v>103</v>
      </c>
      <c r="C253" s="1" t="s">
        <v>28</v>
      </c>
      <c r="D253" s="1" t="s">
        <v>212</v>
      </c>
      <c r="E253" s="1" t="s">
        <v>30</v>
      </c>
      <c r="F253" s="1" t="s">
        <v>125</v>
      </c>
      <c r="G253" s="1">
        <v>14</v>
      </c>
      <c r="H253" s="1">
        <f t="shared" si="6"/>
        <v>47389</v>
      </c>
      <c r="I253" s="1">
        <v>663446</v>
      </c>
      <c r="J253" s="6">
        <v>9.9999999999999964E-2</v>
      </c>
      <c r="K253" s="7">
        <v>597101.4</v>
      </c>
      <c r="L253" s="1" t="s">
        <v>19</v>
      </c>
      <c r="M253" s="1" t="s">
        <v>64</v>
      </c>
      <c r="N253" s="3">
        <v>45120</v>
      </c>
      <c r="O253" s="3" t="str">
        <f t="shared" si="7"/>
        <v>Jul</v>
      </c>
      <c r="P253" s="12" t="s">
        <v>77</v>
      </c>
    </row>
    <row r="254" spans="1:16" x14ac:dyDescent="0.25">
      <c r="A254" s="11" t="s">
        <v>334</v>
      </c>
      <c r="B254" s="1" t="s">
        <v>67</v>
      </c>
      <c r="C254" s="2" t="s">
        <v>54</v>
      </c>
      <c r="D254" s="1" t="s">
        <v>29</v>
      </c>
      <c r="E254" s="1" t="s">
        <v>24</v>
      </c>
      <c r="F254" s="2" t="s">
        <v>25</v>
      </c>
      <c r="G254" s="1">
        <v>15</v>
      </c>
      <c r="H254" s="1">
        <f t="shared" si="6"/>
        <v>360143</v>
      </c>
      <c r="I254" s="2">
        <v>5402145</v>
      </c>
      <c r="J254" s="6">
        <v>0.2</v>
      </c>
      <c r="K254" s="8">
        <v>4321716</v>
      </c>
      <c r="L254" s="2" t="s">
        <v>60</v>
      </c>
      <c r="M254" s="2" t="s">
        <v>38</v>
      </c>
      <c r="N254" s="4">
        <v>45151</v>
      </c>
      <c r="O254" s="3" t="str">
        <f t="shared" si="7"/>
        <v>Aug</v>
      </c>
      <c r="P254" s="13" t="s">
        <v>55</v>
      </c>
    </row>
    <row r="255" spans="1:16" x14ac:dyDescent="0.25">
      <c r="A255" s="10" t="s">
        <v>335</v>
      </c>
      <c r="B255" s="1" t="s">
        <v>34</v>
      </c>
      <c r="C255" s="1" t="s">
        <v>47</v>
      </c>
      <c r="D255" s="1" t="s">
        <v>16</v>
      </c>
      <c r="E255" s="1" t="s">
        <v>43</v>
      </c>
      <c r="F255" s="1" t="s">
        <v>44</v>
      </c>
      <c r="G255" s="1">
        <v>11</v>
      </c>
      <c r="H255" s="1">
        <f t="shared" si="6"/>
        <v>67888</v>
      </c>
      <c r="I255" s="1">
        <v>746768</v>
      </c>
      <c r="J255" s="6">
        <v>0.10000000000000006</v>
      </c>
      <c r="K255" s="7">
        <v>672091.2</v>
      </c>
      <c r="L255" s="1" t="s">
        <v>19</v>
      </c>
      <c r="M255" s="1" t="s">
        <v>20</v>
      </c>
      <c r="N255" s="3">
        <v>44976</v>
      </c>
      <c r="O255" s="3" t="str">
        <f t="shared" si="7"/>
        <v>Feb</v>
      </c>
      <c r="P255" s="12" t="s">
        <v>32</v>
      </c>
    </row>
    <row r="256" spans="1:16" x14ac:dyDescent="0.25">
      <c r="A256" s="11" t="s">
        <v>336</v>
      </c>
      <c r="B256" s="1" t="s">
        <v>23</v>
      </c>
      <c r="C256" s="2" t="s">
        <v>15</v>
      </c>
      <c r="D256" s="1" t="s">
        <v>16</v>
      </c>
      <c r="E256" s="1" t="s">
        <v>35</v>
      </c>
      <c r="F256" s="2" t="s">
        <v>68</v>
      </c>
      <c r="G256" s="1">
        <v>20</v>
      </c>
      <c r="H256" s="1">
        <f t="shared" si="6"/>
        <v>54664</v>
      </c>
      <c r="I256" s="2">
        <v>1093280</v>
      </c>
      <c r="J256" s="6">
        <v>0.1</v>
      </c>
      <c r="K256" s="8">
        <v>983952</v>
      </c>
      <c r="L256" s="2" t="s">
        <v>49</v>
      </c>
      <c r="M256" s="2" t="s">
        <v>64</v>
      </c>
      <c r="N256" s="4">
        <v>45043</v>
      </c>
      <c r="O256" s="3" t="str">
        <f t="shared" si="7"/>
        <v>Apr</v>
      </c>
      <c r="P256" s="13" t="s">
        <v>21</v>
      </c>
    </row>
    <row r="257" spans="1:16" x14ac:dyDescent="0.25">
      <c r="A257" s="10" t="s">
        <v>337</v>
      </c>
      <c r="B257" s="1" t="s">
        <v>101</v>
      </c>
      <c r="C257" s="1" t="s">
        <v>70</v>
      </c>
      <c r="D257" s="1" t="s">
        <v>16</v>
      </c>
      <c r="E257" s="1" t="s">
        <v>24</v>
      </c>
      <c r="F257" s="1" t="s">
        <v>71</v>
      </c>
      <c r="G257" s="1">
        <v>8</v>
      </c>
      <c r="H257" s="1">
        <f t="shared" si="6"/>
        <v>77561</v>
      </c>
      <c r="I257" s="1">
        <v>620488</v>
      </c>
      <c r="J257" s="6">
        <v>0</v>
      </c>
      <c r="K257" s="7">
        <v>620488</v>
      </c>
      <c r="L257" s="1" t="s">
        <v>37</v>
      </c>
      <c r="M257" s="1" t="s">
        <v>26</v>
      </c>
      <c r="N257" s="3">
        <v>45148</v>
      </c>
      <c r="O257" s="3" t="str">
        <f t="shared" si="7"/>
        <v>Aug</v>
      </c>
      <c r="P257" s="12" t="s">
        <v>83</v>
      </c>
    </row>
    <row r="258" spans="1:16" x14ac:dyDescent="0.25">
      <c r="A258" s="11" t="s">
        <v>338</v>
      </c>
      <c r="B258" s="1" t="s">
        <v>119</v>
      </c>
      <c r="C258" s="2" t="s">
        <v>51</v>
      </c>
      <c r="D258" s="1" t="s">
        <v>16</v>
      </c>
      <c r="E258" s="1" t="s">
        <v>30</v>
      </c>
      <c r="F258" s="2" t="s">
        <v>59</v>
      </c>
      <c r="G258" s="1">
        <v>19</v>
      </c>
      <c r="H258" s="1">
        <f t="shared" ref="H258:H321" si="8">I258/G258</f>
        <v>43541</v>
      </c>
      <c r="I258" s="2">
        <v>827279</v>
      </c>
      <c r="J258" s="6">
        <v>0.14999999999999997</v>
      </c>
      <c r="K258" s="8">
        <v>703187.15</v>
      </c>
      <c r="L258" s="2" t="s">
        <v>49</v>
      </c>
      <c r="M258" s="2" t="s">
        <v>64</v>
      </c>
      <c r="N258" s="4">
        <v>45115</v>
      </c>
      <c r="O258" s="3" t="str">
        <f t="shared" si="7"/>
        <v>Jul</v>
      </c>
      <c r="P258" s="13" t="s">
        <v>32</v>
      </c>
    </row>
    <row r="259" spans="1:16" x14ac:dyDescent="0.25">
      <c r="A259" s="10" t="s">
        <v>339</v>
      </c>
      <c r="B259" s="1" t="s">
        <v>23</v>
      </c>
      <c r="C259" s="1" t="s">
        <v>42</v>
      </c>
      <c r="D259" s="1" t="s">
        <v>29</v>
      </c>
      <c r="E259" s="1" t="s">
        <v>24</v>
      </c>
      <c r="F259" s="1" t="s">
        <v>71</v>
      </c>
      <c r="G259" s="1">
        <v>3</v>
      </c>
      <c r="H259" s="1">
        <f t="shared" si="8"/>
        <v>18937</v>
      </c>
      <c r="I259" s="1">
        <v>56811</v>
      </c>
      <c r="J259" s="6">
        <v>0</v>
      </c>
      <c r="K259" s="7">
        <v>56811</v>
      </c>
      <c r="L259" s="1" t="s">
        <v>60</v>
      </c>
      <c r="M259" s="1" t="s">
        <v>64</v>
      </c>
      <c r="N259" s="3">
        <v>45030</v>
      </c>
      <c r="O259" s="3" t="str">
        <f t="shared" ref="O259:O322" si="9">TEXT(N259,"mmm")</f>
        <v>Apr</v>
      </c>
      <c r="P259" s="12" t="s">
        <v>77</v>
      </c>
    </row>
    <row r="260" spans="1:16" x14ac:dyDescent="0.25">
      <c r="A260" s="11" t="s">
        <v>340</v>
      </c>
      <c r="B260" s="1" t="s">
        <v>62</v>
      </c>
      <c r="C260" s="2" t="s">
        <v>63</v>
      </c>
      <c r="D260" s="1" t="s">
        <v>29</v>
      </c>
      <c r="E260" s="1" t="s">
        <v>24</v>
      </c>
      <c r="F260" s="2" t="s">
        <v>71</v>
      </c>
      <c r="G260" s="1">
        <v>13</v>
      </c>
      <c r="H260" s="1">
        <f t="shared" si="8"/>
        <v>314048</v>
      </c>
      <c r="I260" s="2">
        <v>4082624</v>
      </c>
      <c r="J260" s="6">
        <v>0.15000000000000002</v>
      </c>
      <c r="K260" s="8">
        <v>3470230.4</v>
      </c>
      <c r="L260" s="2" t="s">
        <v>49</v>
      </c>
      <c r="M260" s="2" t="s">
        <v>64</v>
      </c>
      <c r="N260" s="4">
        <v>45153</v>
      </c>
      <c r="O260" s="3" t="str">
        <f t="shared" si="9"/>
        <v>Aug</v>
      </c>
      <c r="P260" s="13" t="s">
        <v>39</v>
      </c>
    </row>
    <row r="261" spans="1:16" x14ac:dyDescent="0.25">
      <c r="A261" s="10" t="s">
        <v>341</v>
      </c>
      <c r="B261" s="1" t="s">
        <v>107</v>
      </c>
      <c r="C261" s="1" t="s">
        <v>63</v>
      </c>
      <c r="D261" s="1" t="s">
        <v>29</v>
      </c>
      <c r="E261" s="1" t="s">
        <v>43</v>
      </c>
      <c r="F261" s="1" t="s">
        <v>142</v>
      </c>
      <c r="G261" s="1">
        <v>12</v>
      </c>
      <c r="H261" s="1">
        <f t="shared" si="8"/>
        <v>440739</v>
      </c>
      <c r="I261" s="1">
        <v>5288868</v>
      </c>
      <c r="J261" s="6">
        <v>0</v>
      </c>
      <c r="K261" s="7">
        <v>5288868</v>
      </c>
      <c r="L261" s="1" t="s">
        <v>19</v>
      </c>
      <c r="M261" s="1" t="s">
        <v>64</v>
      </c>
      <c r="N261" s="3">
        <v>45172</v>
      </c>
      <c r="O261" s="3" t="str">
        <f t="shared" si="9"/>
        <v>Sep</v>
      </c>
      <c r="P261" s="12" t="s">
        <v>83</v>
      </c>
    </row>
    <row r="262" spans="1:16" x14ac:dyDescent="0.25">
      <c r="A262" s="11" t="s">
        <v>342</v>
      </c>
      <c r="B262" s="1" t="s">
        <v>90</v>
      </c>
      <c r="C262" s="2" t="s">
        <v>28</v>
      </c>
      <c r="D262" s="1" t="s">
        <v>29</v>
      </c>
      <c r="E262" s="1" t="s">
        <v>30</v>
      </c>
      <c r="F262" s="2" t="s">
        <v>125</v>
      </c>
      <c r="G262" s="1">
        <v>8</v>
      </c>
      <c r="H262" s="1">
        <f t="shared" si="8"/>
        <v>40200</v>
      </c>
      <c r="I262" s="2">
        <v>321600</v>
      </c>
      <c r="J262" s="6">
        <v>0.2</v>
      </c>
      <c r="K262" s="8">
        <v>257280</v>
      </c>
      <c r="L262" s="2" t="s">
        <v>49</v>
      </c>
      <c r="M262" s="2" t="s">
        <v>64</v>
      </c>
      <c r="N262" s="4">
        <v>45271</v>
      </c>
      <c r="O262" s="3" t="str">
        <f t="shared" si="9"/>
        <v>Dec</v>
      </c>
      <c r="P262" s="13" t="s">
        <v>32</v>
      </c>
    </row>
    <row r="263" spans="1:16" x14ac:dyDescent="0.25">
      <c r="A263" s="10" t="s">
        <v>343</v>
      </c>
      <c r="B263" s="1" t="s">
        <v>57</v>
      </c>
      <c r="C263" s="1" t="s">
        <v>63</v>
      </c>
      <c r="D263" s="1" t="s">
        <v>29</v>
      </c>
      <c r="E263" s="1" t="s">
        <v>43</v>
      </c>
      <c r="F263" s="1" t="s">
        <v>142</v>
      </c>
      <c r="G263" s="1">
        <v>11</v>
      </c>
      <c r="H263" s="1">
        <f t="shared" si="8"/>
        <v>207288</v>
      </c>
      <c r="I263" s="1">
        <v>2280168</v>
      </c>
      <c r="J263" s="6">
        <v>4.9999999999999961E-2</v>
      </c>
      <c r="K263" s="7">
        <v>2166159.6</v>
      </c>
      <c r="L263" s="1" t="s">
        <v>37</v>
      </c>
      <c r="M263" s="1" t="s">
        <v>38</v>
      </c>
      <c r="N263" s="3">
        <v>45113</v>
      </c>
      <c r="O263" s="3" t="str">
        <f t="shared" si="9"/>
        <v>Jul</v>
      </c>
      <c r="P263" s="12" t="s">
        <v>65</v>
      </c>
    </row>
    <row r="264" spans="1:16" x14ac:dyDescent="0.25">
      <c r="A264" s="11" t="s">
        <v>344</v>
      </c>
      <c r="B264" s="1" t="s">
        <v>23</v>
      </c>
      <c r="C264" s="2" t="s">
        <v>51</v>
      </c>
      <c r="D264" s="1" t="s">
        <v>16</v>
      </c>
      <c r="E264" s="1" t="s">
        <v>24</v>
      </c>
      <c r="F264" s="2" t="s">
        <v>71</v>
      </c>
      <c r="G264" s="1">
        <v>11</v>
      </c>
      <c r="H264" s="1">
        <f t="shared" si="8"/>
        <v>29881</v>
      </c>
      <c r="I264" s="2">
        <v>328691</v>
      </c>
      <c r="J264" s="6">
        <v>4.9999999999999961E-2</v>
      </c>
      <c r="K264" s="8">
        <v>312256.45</v>
      </c>
      <c r="L264" s="2" t="s">
        <v>37</v>
      </c>
      <c r="M264" s="2" t="s">
        <v>26</v>
      </c>
      <c r="N264" s="4">
        <v>45062</v>
      </c>
      <c r="O264" s="3" t="str">
        <f t="shared" si="9"/>
        <v>May</v>
      </c>
      <c r="P264" s="13" t="s">
        <v>39</v>
      </c>
    </row>
    <row r="265" spans="1:16" x14ac:dyDescent="0.25">
      <c r="A265" s="10" t="s">
        <v>345</v>
      </c>
      <c r="B265" s="1" t="s">
        <v>62</v>
      </c>
      <c r="C265" s="1" t="s">
        <v>81</v>
      </c>
      <c r="D265" s="1" t="s">
        <v>29</v>
      </c>
      <c r="E265" s="1" t="s">
        <v>43</v>
      </c>
      <c r="F265" s="1" t="s">
        <v>98</v>
      </c>
      <c r="G265" s="1">
        <v>20</v>
      </c>
      <c r="H265" s="1">
        <f t="shared" si="8"/>
        <v>42642</v>
      </c>
      <c r="I265" s="1">
        <v>852840</v>
      </c>
      <c r="J265" s="6">
        <v>0.15</v>
      </c>
      <c r="K265" s="7">
        <v>724914</v>
      </c>
      <c r="L265" s="1" t="s">
        <v>19</v>
      </c>
      <c r="M265" s="1" t="s">
        <v>20</v>
      </c>
      <c r="N265" s="3">
        <v>45005</v>
      </c>
      <c r="O265" s="3" t="str">
        <f t="shared" si="9"/>
        <v>Mar</v>
      </c>
      <c r="P265" s="12" t="s">
        <v>74</v>
      </c>
    </row>
    <row r="266" spans="1:16" x14ac:dyDescent="0.25">
      <c r="A266" s="11" t="s">
        <v>325</v>
      </c>
      <c r="B266" s="1" t="s">
        <v>87</v>
      </c>
      <c r="C266" s="2" t="s">
        <v>15</v>
      </c>
      <c r="D266" s="1" t="s">
        <v>16</v>
      </c>
      <c r="E266" s="1" t="s">
        <v>30</v>
      </c>
      <c r="F266" s="2" t="s">
        <v>31</v>
      </c>
      <c r="G266" s="1">
        <v>20</v>
      </c>
      <c r="H266" s="1">
        <f t="shared" si="8"/>
        <v>79323</v>
      </c>
      <c r="I266" s="2">
        <v>1586460</v>
      </c>
      <c r="J266" s="6">
        <v>0.2</v>
      </c>
      <c r="K266" s="8">
        <v>1269168</v>
      </c>
      <c r="L266" s="2" t="s">
        <v>60</v>
      </c>
      <c r="M266" s="2" t="s">
        <v>38</v>
      </c>
      <c r="N266" s="4">
        <v>44937</v>
      </c>
      <c r="O266" s="3" t="str">
        <f t="shared" si="9"/>
        <v>Jan</v>
      </c>
      <c r="P266" s="13" t="s">
        <v>77</v>
      </c>
    </row>
    <row r="267" spans="1:16" x14ac:dyDescent="0.25">
      <c r="A267" s="10" t="s">
        <v>346</v>
      </c>
      <c r="B267" s="1" t="s">
        <v>57</v>
      </c>
      <c r="C267" s="1" t="s">
        <v>15</v>
      </c>
      <c r="D267" s="1" t="s">
        <v>16</v>
      </c>
      <c r="E267" s="1" t="s">
        <v>24</v>
      </c>
      <c r="F267" s="1" t="s">
        <v>71</v>
      </c>
      <c r="G267" s="1">
        <v>17</v>
      </c>
      <c r="H267" s="1">
        <f t="shared" si="8"/>
        <v>46467</v>
      </c>
      <c r="I267" s="1">
        <v>789939</v>
      </c>
      <c r="J267" s="6">
        <v>0.10000000000000003</v>
      </c>
      <c r="K267" s="7">
        <v>710945.1</v>
      </c>
      <c r="L267" s="1" t="s">
        <v>19</v>
      </c>
      <c r="M267" s="1" t="s">
        <v>38</v>
      </c>
      <c r="N267" s="3">
        <v>45059</v>
      </c>
      <c r="O267" s="3" t="str">
        <f t="shared" si="9"/>
        <v>May</v>
      </c>
      <c r="P267" s="12" t="s">
        <v>21</v>
      </c>
    </row>
    <row r="268" spans="1:16" x14ac:dyDescent="0.25">
      <c r="A268" s="11" t="s">
        <v>347</v>
      </c>
      <c r="B268" s="1" t="s">
        <v>87</v>
      </c>
      <c r="C268" s="2" t="s">
        <v>81</v>
      </c>
      <c r="D268" s="1" t="s">
        <v>29</v>
      </c>
      <c r="E268" s="1" t="s">
        <v>43</v>
      </c>
      <c r="F268" s="2" t="s">
        <v>142</v>
      </c>
      <c r="G268" s="1">
        <v>5</v>
      </c>
      <c r="H268" s="1">
        <f t="shared" si="8"/>
        <v>38360</v>
      </c>
      <c r="I268" s="2">
        <v>191800</v>
      </c>
      <c r="J268" s="6">
        <v>0.15</v>
      </c>
      <c r="K268" s="8">
        <v>163030</v>
      </c>
      <c r="L268" s="2" t="s">
        <v>19</v>
      </c>
      <c r="M268" s="2" t="s">
        <v>26</v>
      </c>
      <c r="N268" s="4">
        <v>45112</v>
      </c>
      <c r="O268" s="3" t="str">
        <f t="shared" si="9"/>
        <v>Jul</v>
      </c>
      <c r="P268" s="13" t="s">
        <v>39</v>
      </c>
    </row>
    <row r="269" spans="1:16" x14ac:dyDescent="0.25">
      <c r="A269" s="10" t="s">
        <v>348</v>
      </c>
      <c r="B269" s="1" t="s">
        <v>92</v>
      </c>
      <c r="C269" s="1" t="s">
        <v>70</v>
      </c>
      <c r="D269" s="1" t="s">
        <v>16</v>
      </c>
      <c r="E269" s="1" t="s">
        <v>17</v>
      </c>
      <c r="F269" s="1" t="s">
        <v>18</v>
      </c>
      <c r="G269" s="1">
        <v>13</v>
      </c>
      <c r="H269" s="1">
        <f t="shared" si="8"/>
        <v>71655</v>
      </c>
      <c r="I269" s="1">
        <v>931515</v>
      </c>
      <c r="J269" s="6">
        <v>0</v>
      </c>
      <c r="K269" s="7">
        <v>931515</v>
      </c>
      <c r="L269" s="1" t="s">
        <v>49</v>
      </c>
      <c r="M269" s="1" t="s">
        <v>38</v>
      </c>
      <c r="N269" s="3">
        <v>45033</v>
      </c>
      <c r="O269" s="3" t="str">
        <f t="shared" si="9"/>
        <v>Apr</v>
      </c>
      <c r="P269" s="12" t="s">
        <v>83</v>
      </c>
    </row>
    <row r="270" spans="1:16" x14ac:dyDescent="0.25">
      <c r="A270" s="11" t="s">
        <v>349</v>
      </c>
      <c r="B270" s="1" t="s">
        <v>103</v>
      </c>
      <c r="C270" s="2" t="s">
        <v>47</v>
      </c>
      <c r="D270" s="1" t="s">
        <v>16</v>
      </c>
      <c r="E270" s="1" t="s">
        <v>43</v>
      </c>
      <c r="F270" s="2" t="s">
        <v>98</v>
      </c>
      <c r="G270" s="1">
        <v>13</v>
      </c>
      <c r="H270" s="1">
        <f t="shared" si="8"/>
        <v>5609</v>
      </c>
      <c r="I270" s="2">
        <v>72917</v>
      </c>
      <c r="J270" s="6">
        <v>9.9999999999999964E-2</v>
      </c>
      <c r="K270" s="8">
        <v>65625.3</v>
      </c>
      <c r="L270" s="2" t="s">
        <v>49</v>
      </c>
      <c r="M270" s="2" t="s">
        <v>64</v>
      </c>
      <c r="N270" s="4">
        <v>45208</v>
      </c>
      <c r="O270" s="3" t="str">
        <f t="shared" si="9"/>
        <v>Oct</v>
      </c>
      <c r="P270" s="13" t="s">
        <v>77</v>
      </c>
    </row>
    <row r="271" spans="1:16" x14ac:dyDescent="0.25">
      <c r="A271" s="10" t="s">
        <v>350</v>
      </c>
      <c r="B271" s="1" t="s">
        <v>101</v>
      </c>
      <c r="C271" s="1" t="s">
        <v>70</v>
      </c>
      <c r="D271" s="1" t="s">
        <v>16</v>
      </c>
      <c r="E271" s="1" t="s">
        <v>35</v>
      </c>
      <c r="F271" s="1" t="s">
        <v>18</v>
      </c>
      <c r="G271" s="1">
        <v>20</v>
      </c>
      <c r="H271" s="1">
        <f t="shared" si="8"/>
        <v>57654</v>
      </c>
      <c r="I271" s="1">
        <v>1153080</v>
      </c>
      <c r="J271" s="6">
        <v>0</v>
      </c>
      <c r="K271" s="7">
        <v>1153080</v>
      </c>
      <c r="L271" s="1" t="s">
        <v>60</v>
      </c>
      <c r="M271" s="1" t="s">
        <v>64</v>
      </c>
      <c r="N271" s="3">
        <v>45276</v>
      </c>
      <c r="O271" s="3" t="str">
        <f t="shared" si="9"/>
        <v>Dec</v>
      </c>
      <c r="P271" s="12" t="s">
        <v>65</v>
      </c>
    </row>
    <row r="272" spans="1:16" x14ac:dyDescent="0.25">
      <c r="A272" s="11" t="s">
        <v>351</v>
      </c>
      <c r="B272" s="1" t="s">
        <v>107</v>
      </c>
      <c r="C272" s="2" t="s">
        <v>51</v>
      </c>
      <c r="D272" s="1" t="s">
        <v>16</v>
      </c>
      <c r="E272" s="1" t="s">
        <v>30</v>
      </c>
      <c r="F272" s="2" t="s">
        <v>59</v>
      </c>
      <c r="G272" s="1">
        <v>11</v>
      </c>
      <c r="H272" s="1">
        <f t="shared" si="8"/>
        <v>64681</v>
      </c>
      <c r="I272" s="2">
        <v>711491</v>
      </c>
      <c r="J272" s="6">
        <v>5.0000000000000065E-2</v>
      </c>
      <c r="K272" s="8">
        <v>675916.45</v>
      </c>
      <c r="L272" s="2" t="s">
        <v>19</v>
      </c>
      <c r="M272" s="2" t="s">
        <v>26</v>
      </c>
      <c r="N272" s="4">
        <v>44972</v>
      </c>
      <c r="O272" s="3" t="str">
        <f t="shared" si="9"/>
        <v>Feb</v>
      </c>
      <c r="P272" s="13" t="s">
        <v>83</v>
      </c>
    </row>
    <row r="273" spans="1:16" x14ac:dyDescent="0.25">
      <c r="A273" s="10" t="s">
        <v>352</v>
      </c>
      <c r="B273" s="1" t="s">
        <v>95</v>
      </c>
      <c r="C273" s="1" t="s">
        <v>28</v>
      </c>
      <c r="D273" s="1" t="s">
        <v>29</v>
      </c>
      <c r="E273" s="1" t="s">
        <v>30</v>
      </c>
      <c r="F273" s="1" t="s">
        <v>125</v>
      </c>
      <c r="G273" s="1">
        <v>7</v>
      </c>
      <c r="H273" s="1">
        <f t="shared" si="8"/>
        <v>26611</v>
      </c>
      <c r="I273" s="1">
        <v>186277</v>
      </c>
      <c r="J273" s="6">
        <v>0.14999999999999994</v>
      </c>
      <c r="K273" s="7">
        <v>158335.45000000001</v>
      </c>
      <c r="L273" s="1" t="s">
        <v>60</v>
      </c>
      <c r="M273" s="1" t="s">
        <v>38</v>
      </c>
      <c r="N273" s="3">
        <v>45040</v>
      </c>
      <c r="O273" s="3" t="str">
        <f t="shared" si="9"/>
        <v>Apr</v>
      </c>
      <c r="P273" s="12" t="s">
        <v>39</v>
      </c>
    </row>
    <row r="274" spans="1:16" x14ac:dyDescent="0.25">
      <c r="A274" s="11" t="s">
        <v>353</v>
      </c>
      <c r="B274" s="1" t="s">
        <v>34</v>
      </c>
      <c r="C274" s="2" t="s">
        <v>42</v>
      </c>
      <c r="D274" s="1" t="s">
        <v>29</v>
      </c>
      <c r="E274" s="1" t="s">
        <v>17</v>
      </c>
      <c r="F274" s="2" t="s">
        <v>73</v>
      </c>
      <c r="G274" s="1">
        <v>9</v>
      </c>
      <c r="H274" s="1">
        <f t="shared" si="8"/>
        <v>16042</v>
      </c>
      <c r="I274" s="2">
        <v>144378</v>
      </c>
      <c r="J274" s="6">
        <v>4.9999999999999961E-2</v>
      </c>
      <c r="K274" s="8">
        <v>137159.1</v>
      </c>
      <c r="L274" s="2" t="s">
        <v>19</v>
      </c>
      <c r="M274" s="2" t="s">
        <v>64</v>
      </c>
      <c r="N274" s="4">
        <v>45210</v>
      </c>
      <c r="O274" s="3" t="str">
        <f t="shared" si="9"/>
        <v>Oct</v>
      </c>
      <c r="P274" s="13" t="s">
        <v>122</v>
      </c>
    </row>
    <row r="275" spans="1:16" x14ac:dyDescent="0.25">
      <c r="A275" s="10" t="s">
        <v>354</v>
      </c>
      <c r="B275" s="1" t="s">
        <v>92</v>
      </c>
      <c r="C275" s="1" t="s">
        <v>70</v>
      </c>
      <c r="D275" s="1" t="s">
        <v>16</v>
      </c>
      <c r="E275" s="1" t="s">
        <v>24</v>
      </c>
      <c r="F275" s="1" t="s">
        <v>25</v>
      </c>
      <c r="G275" s="1">
        <v>6</v>
      </c>
      <c r="H275" s="1">
        <f t="shared" si="8"/>
        <v>76496</v>
      </c>
      <c r="I275" s="1">
        <v>458976</v>
      </c>
      <c r="J275" s="6">
        <v>9.999999999999995E-2</v>
      </c>
      <c r="K275" s="7">
        <v>413078.4</v>
      </c>
      <c r="L275" s="1" t="s">
        <v>49</v>
      </c>
      <c r="M275" s="1" t="s">
        <v>20</v>
      </c>
      <c r="N275" s="3">
        <v>45210</v>
      </c>
      <c r="O275" s="3" t="str">
        <f t="shared" si="9"/>
        <v>Oct</v>
      </c>
      <c r="P275" s="12" t="s">
        <v>65</v>
      </c>
    </row>
    <row r="276" spans="1:16" x14ac:dyDescent="0.25">
      <c r="A276" s="11" t="s">
        <v>355</v>
      </c>
      <c r="B276" s="1" t="s">
        <v>92</v>
      </c>
      <c r="C276" s="2" t="s">
        <v>70</v>
      </c>
      <c r="D276" s="1" t="s">
        <v>16</v>
      </c>
      <c r="E276" s="1" t="s">
        <v>24</v>
      </c>
      <c r="F276" s="2" t="s">
        <v>25</v>
      </c>
      <c r="G276" s="1">
        <v>3</v>
      </c>
      <c r="H276" s="1">
        <f t="shared" si="8"/>
        <v>56873</v>
      </c>
      <c r="I276" s="2">
        <v>170619</v>
      </c>
      <c r="J276" s="6">
        <v>9.9999999999999964E-2</v>
      </c>
      <c r="K276" s="8">
        <v>153557.1</v>
      </c>
      <c r="L276" s="2" t="s">
        <v>19</v>
      </c>
      <c r="M276" s="2" t="s">
        <v>38</v>
      </c>
      <c r="N276" s="4">
        <v>44974</v>
      </c>
      <c r="O276" s="3" t="str">
        <f t="shared" si="9"/>
        <v>Feb</v>
      </c>
      <c r="P276" s="13" t="s">
        <v>55</v>
      </c>
    </row>
    <row r="277" spans="1:16" x14ac:dyDescent="0.25">
      <c r="A277" s="10" t="s">
        <v>356</v>
      </c>
      <c r="B277" s="1" t="s">
        <v>34</v>
      </c>
      <c r="C277" s="1" t="s">
        <v>15</v>
      </c>
      <c r="D277" s="1" t="s">
        <v>16</v>
      </c>
      <c r="E277" s="1" t="s">
        <v>17</v>
      </c>
      <c r="F277" s="1" t="s">
        <v>18</v>
      </c>
      <c r="G277" s="1">
        <v>4</v>
      </c>
      <c r="H277" s="1">
        <f t="shared" si="8"/>
        <v>269137.5</v>
      </c>
      <c r="I277" s="1">
        <v>1076550</v>
      </c>
      <c r="J277" s="6">
        <v>0.15</v>
      </c>
      <c r="K277" s="7">
        <v>915067.5</v>
      </c>
      <c r="L277" s="1" t="s">
        <v>37</v>
      </c>
      <c r="M277" s="1" t="s">
        <v>20</v>
      </c>
      <c r="N277" s="3">
        <v>45081</v>
      </c>
      <c r="O277" s="3" t="str">
        <f t="shared" si="9"/>
        <v>Jun</v>
      </c>
      <c r="P277" s="12" t="s">
        <v>45</v>
      </c>
    </row>
    <row r="278" spans="1:16" x14ac:dyDescent="0.25">
      <c r="A278" s="11" t="s">
        <v>357</v>
      </c>
      <c r="B278" s="1" t="s">
        <v>23</v>
      </c>
      <c r="C278" s="2" t="s">
        <v>70</v>
      </c>
      <c r="D278" s="1" t="s">
        <v>16</v>
      </c>
      <c r="E278" s="1" t="s">
        <v>30</v>
      </c>
      <c r="F278" s="2" t="s">
        <v>125</v>
      </c>
      <c r="G278" s="1">
        <v>9</v>
      </c>
      <c r="H278" s="1">
        <f t="shared" si="8"/>
        <v>54060</v>
      </c>
      <c r="I278" s="2">
        <v>486540</v>
      </c>
      <c r="J278" s="6">
        <v>0.05</v>
      </c>
      <c r="K278" s="8">
        <v>462213</v>
      </c>
      <c r="L278" s="2" t="s">
        <v>49</v>
      </c>
      <c r="M278" s="2" t="s">
        <v>64</v>
      </c>
      <c r="N278" s="4">
        <v>44971</v>
      </c>
      <c r="O278" s="3" t="str">
        <f t="shared" si="9"/>
        <v>Feb</v>
      </c>
      <c r="P278" s="13" t="s">
        <v>55</v>
      </c>
    </row>
    <row r="279" spans="1:16" x14ac:dyDescent="0.25">
      <c r="A279" s="10" t="s">
        <v>358</v>
      </c>
      <c r="B279" s="1" t="s">
        <v>157</v>
      </c>
      <c r="C279" s="1" t="s">
        <v>81</v>
      </c>
      <c r="D279" s="1" t="s">
        <v>29</v>
      </c>
      <c r="E279" s="1" t="s">
        <v>30</v>
      </c>
      <c r="F279" s="1" t="s">
        <v>125</v>
      </c>
      <c r="G279" s="1">
        <v>20</v>
      </c>
      <c r="H279" s="1">
        <f t="shared" si="8"/>
        <v>49399</v>
      </c>
      <c r="I279" s="1">
        <v>987980</v>
      </c>
      <c r="J279" s="6">
        <v>0.2</v>
      </c>
      <c r="K279" s="7">
        <v>790384</v>
      </c>
      <c r="L279" s="1" t="s">
        <v>60</v>
      </c>
      <c r="M279" s="1" t="s">
        <v>64</v>
      </c>
      <c r="N279" s="3">
        <v>45160</v>
      </c>
      <c r="O279" s="3" t="str">
        <f t="shared" si="9"/>
        <v>Aug</v>
      </c>
      <c r="P279" s="12" t="s">
        <v>39</v>
      </c>
    </row>
    <row r="280" spans="1:16" x14ac:dyDescent="0.25">
      <c r="A280" s="11" t="s">
        <v>359</v>
      </c>
      <c r="B280" s="1" t="s">
        <v>57</v>
      </c>
      <c r="C280" s="2" t="s">
        <v>81</v>
      </c>
      <c r="D280" s="1" t="s">
        <v>29</v>
      </c>
      <c r="E280" s="1" t="s">
        <v>43</v>
      </c>
      <c r="F280" s="2" t="s">
        <v>44</v>
      </c>
      <c r="G280" s="1">
        <v>17</v>
      </c>
      <c r="H280" s="1">
        <f t="shared" si="8"/>
        <v>64930</v>
      </c>
      <c r="I280" s="2">
        <v>1103810</v>
      </c>
      <c r="J280" s="6">
        <v>0.05</v>
      </c>
      <c r="K280" s="8">
        <v>1048619.5</v>
      </c>
      <c r="L280" s="2" t="s">
        <v>19</v>
      </c>
      <c r="M280" s="2" t="s">
        <v>64</v>
      </c>
      <c r="N280" s="4">
        <v>45200</v>
      </c>
      <c r="O280" s="3" t="str">
        <f t="shared" si="9"/>
        <v>Oct</v>
      </c>
      <c r="P280" s="13" t="s">
        <v>83</v>
      </c>
    </row>
    <row r="281" spans="1:16" x14ac:dyDescent="0.25">
      <c r="A281" s="10" t="s">
        <v>360</v>
      </c>
      <c r="B281" s="1" t="s">
        <v>34</v>
      </c>
      <c r="C281" s="1" t="s">
        <v>15</v>
      </c>
      <c r="D281" s="1" t="s">
        <v>16</v>
      </c>
      <c r="E281" s="1" t="s">
        <v>35</v>
      </c>
      <c r="F281" s="1" t="s">
        <v>108</v>
      </c>
      <c r="G281" s="1">
        <v>19</v>
      </c>
      <c r="H281" s="1">
        <f t="shared" si="8"/>
        <v>10383</v>
      </c>
      <c r="I281" s="1">
        <v>197277</v>
      </c>
      <c r="J281" s="6">
        <v>0.10000000000000006</v>
      </c>
      <c r="K281" s="7">
        <v>177549.3</v>
      </c>
      <c r="L281" s="1" t="s">
        <v>19</v>
      </c>
      <c r="M281" s="1" t="s">
        <v>64</v>
      </c>
      <c r="N281" s="3">
        <v>45190</v>
      </c>
      <c r="O281" s="3" t="str">
        <f t="shared" si="9"/>
        <v>Sep</v>
      </c>
      <c r="P281" s="12" t="s">
        <v>77</v>
      </c>
    </row>
    <row r="282" spans="1:16" x14ac:dyDescent="0.25">
      <c r="A282" s="11" t="s">
        <v>361</v>
      </c>
      <c r="B282" s="1" t="s">
        <v>53</v>
      </c>
      <c r="C282" s="2" t="s">
        <v>81</v>
      </c>
      <c r="D282" s="1" t="s">
        <v>29</v>
      </c>
      <c r="E282" s="1" t="s">
        <v>35</v>
      </c>
      <c r="F282" s="2" t="s">
        <v>68</v>
      </c>
      <c r="G282" s="1">
        <v>19</v>
      </c>
      <c r="H282" s="1">
        <f t="shared" si="8"/>
        <v>69763</v>
      </c>
      <c r="I282" s="2">
        <v>1325497</v>
      </c>
      <c r="J282" s="6">
        <v>5.0000000000000072E-2</v>
      </c>
      <c r="K282" s="8">
        <v>1259222.1499999999</v>
      </c>
      <c r="L282" s="2" t="s">
        <v>49</v>
      </c>
      <c r="M282" s="2" t="s">
        <v>64</v>
      </c>
      <c r="N282" s="4">
        <v>45067</v>
      </c>
      <c r="O282" s="3" t="str">
        <f t="shared" si="9"/>
        <v>May</v>
      </c>
      <c r="P282" s="13" t="s">
        <v>122</v>
      </c>
    </row>
    <row r="283" spans="1:16" x14ac:dyDescent="0.25">
      <c r="A283" s="10" t="s">
        <v>362</v>
      </c>
      <c r="B283" s="1" t="s">
        <v>87</v>
      </c>
      <c r="C283" s="1" t="s">
        <v>42</v>
      </c>
      <c r="D283" s="1" t="s">
        <v>29</v>
      </c>
      <c r="E283" s="1" t="s">
        <v>35</v>
      </c>
      <c r="F283" s="1" t="s">
        <v>36</v>
      </c>
      <c r="G283" s="1">
        <v>3</v>
      </c>
      <c r="H283" s="1">
        <f t="shared" si="8"/>
        <v>98309.333333333328</v>
      </c>
      <c r="I283" s="1">
        <v>294928</v>
      </c>
      <c r="J283" s="6">
        <v>5.0000000000000079E-2</v>
      </c>
      <c r="K283" s="7">
        <v>280181.59999999998</v>
      </c>
      <c r="L283" s="1" t="s">
        <v>19</v>
      </c>
      <c r="M283" s="1" t="s">
        <v>20</v>
      </c>
      <c r="N283" s="3">
        <v>45072</v>
      </c>
      <c r="O283" s="3" t="str">
        <f t="shared" si="9"/>
        <v>May</v>
      </c>
      <c r="P283" s="12" t="s">
        <v>45</v>
      </c>
    </row>
    <row r="284" spans="1:16" x14ac:dyDescent="0.25">
      <c r="A284" s="11" t="s">
        <v>363</v>
      </c>
      <c r="B284" s="1" t="s">
        <v>41</v>
      </c>
      <c r="C284" s="2" t="s">
        <v>58</v>
      </c>
      <c r="D284" s="1" t="s">
        <v>29</v>
      </c>
      <c r="E284" s="1" t="s">
        <v>24</v>
      </c>
      <c r="F284" s="2" t="s">
        <v>71</v>
      </c>
      <c r="G284" s="1">
        <v>9</v>
      </c>
      <c r="H284" s="1">
        <f t="shared" si="8"/>
        <v>237536</v>
      </c>
      <c r="I284" s="2">
        <v>2137824</v>
      </c>
      <c r="J284" s="6">
        <v>9.999999999999995E-2</v>
      </c>
      <c r="K284" s="8">
        <v>1924041.6</v>
      </c>
      <c r="L284" s="2" t="s">
        <v>19</v>
      </c>
      <c r="M284" s="2" t="s">
        <v>64</v>
      </c>
      <c r="N284" s="4">
        <v>45231</v>
      </c>
      <c r="O284" s="3" t="str">
        <f t="shared" si="9"/>
        <v>Nov</v>
      </c>
      <c r="P284" s="13" t="s">
        <v>45</v>
      </c>
    </row>
    <row r="285" spans="1:16" x14ac:dyDescent="0.25">
      <c r="A285" s="10" t="s">
        <v>364</v>
      </c>
      <c r="B285" s="1" t="s">
        <v>57</v>
      </c>
      <c r="C285" s="1" t="s">
        <v>81</v>
      </c>
      <c r="D285" s="1" t="s">
        <v>29</v>
      </c>
      <c r="E285" s="1" t="s">
        <v>43</v>
      </c>
      <c r="F285" s="1" t="s">
        <v>71</v>
      </c>
      <c r="G285" s="1">
        <v>8</v>
      </c>
      <c r="H285" s="1">
        <f t="shared" si="8"/>
        <v>41500</v>
      </c>
      <c r="I285" s="1">
        <v>332000</v>
      </c>
      <c r="J285" s="6">
        <v>0.15</v>
      </c>
      <c r="K285" s="7">
        <v>282200</v>
      </c>
      <c r="L285" s="1" t="s">
        <v>60</v>
      </c>
      <c r="M285" s="1" t="s">
        <v>26</v>
      </c>
      <c r="N285" s="3">
        <v>45042</v>
      </c>
      <c r="O285" s="3" t="str">
        <f t="shared" si="9"/>
        <v>Apr</v>
      </c>
      <c r="P285" s="12" t="s">
        <v>83</v>
      </c>
    </row>
    <row r="286" spans="1:16" x14ac:dyDescent="0.25">
      <c r="A286" s="11" t="s">
        <v>365</v>
      </c>
      <c r="B286" s="1" t="s">
        <v>157</v>
      </c>
      <c r="C286" s="2" t="s">
        <v>51</v>
      </c>
      <c r="D286" s="1" t="s">
        <v>16</v>
      </c>
      <c r="E286" s="1" t="s">
        <v>30</v>
      </c>
      <c r="F286" s="2" t="s">
        <v>125</v>
      </c>
      <c r="G286" s="1">
        <v>14</v>
      </c>
      <c r="H286" s="1">
        <f t="shared" si="8"/>
        <v>16703</v>
      </c>
      <c r="I286" s="2">
        <v>233842</v>
      </c>
      <c r="J286" s="6">
        <v>5.0000000000000024E-2</v>
      </c>
      <c r="K286" s="8">
        <v>222149.9</v>
      </c>
      <c r="L286" s="2" t="s">
        <v>37</v>
      </c>
      <c r="M286" s="2" t="s">
        <v>26</v>
      </c>
      <c r="N286" s="4">
        <v>45197</v>
      </c>
      <c r="O286" s="3" t="str">
        <f t="shared" si="9"/>
        <v>Sep</v>
      </c>
      <c r="P286" s="13" t="s">
        <v>77</v>
      </c>
    </row>
    <row r="287" spans="1:16" x14ac:dyDescent="0.25">
      <c r="A287" s="10" t="s">
        <v>366</v>
      </c>
      <c r="B287" s="1" t="s">
        <v>95</v>
      </c>
      <c r="C287" s="1" t="s">
        <v>28</v>
      </c>
      <c r="D287" s="1" t="s">
        <v>29</v>
      </c>
      <c r="E287" s="1" t="s">
        <v>43</v>
      </c>
      <c r="F287" s="1" t="s">
        <v>142</v>
      </c>
      <c r="G287" s="1">
        <v>6</v>
      </c>
      <c r="H287" s="1">
        <f t="shared" si="8"/>
        <v>15835</v>
      </c>
      <c r="I287" s="1">
        <v>95010</v>
      </c>
      <c r="J287" s="6">
        <v>0.2</v>
      </c>
      <c r="K287" s="7">
        <v>76008</v>
      </c>
      <c r="L287" s="1" t="s">
        <v>19</v>
      </c>
      <c r="M287" s="1" t="s">
        <v>64</v>
      </c>
      <c r="N287" s="3">
        <v>45143</v>
      </c>
      <c r="O287" s="3" t="str">
        <f t="shared" si="9"/>
        <v>Aug</v>
      </c>
      <c r="P287" s="12" t="s">
        <v>32</v>
      </c>
    </row>
    <row r="288" spans="1:16" x14ac:dyDescent="0.25">
      <c r="A288" s="11" t="s">
        <v>367</v>
      </c>
      <c r="B288" s="1" t="s">
        <v>107</v>
      </c>
      <c r="C288" s="2" t="s">
        <v>28</v>
      </c>
      <c r="D288" s="1" t="s">
        <v>29</v>
      </c>
      <c r="E288" s="1" t="s">
        <v>30</v>
      </c>
      <c r="F288" s="2" t="s">
        <v>31</v>
      </c>
      <c r="G288" s="1">
        <v>7</v>
      </c>
      <c r="H288" s="1">
        <f t="shared" si="8"/>
        <v>66171</v>
      </c>
      <c r="I288" s="2">
        <v>463197</v>
      </c>
      <c r="J288" s="6">
        <v>0.10000000000000002</v>
      </c>
      <c r="K288" s="8">
        <v>416877.3</v>
      </c>
      <c r="L288" s="2" t="s">
        <v>37</v>
      </c>
      <c r="M288" s="2" t="s">
        <v>64</v>
      </c>
      <c r="N288" s="4">
        <v>44943</v>
      </c>
      <c r="O288" s="3" t="str">
        <f t="shared" si="9"/>
        <v>Jan</v>
      </c>
      <c r="P288" s="13" t="s">
        <v>77</v>
      </c>
    </row>
    <row r="289" spans="1:16" x14ac:dyDescent="0.25">
      <c r="A289" s="10" t="s">
        <v>155</v>
      </c>
      <c r="B289" s="1" t="s">
        <v>107</v>
      </c>
      <c r="C289" s="1" t="s">
        <v>28</v>
      </c>
      <c r="D289" s="1" t="s">
        <v>29</v>
      </c>
      <c r="E289" s="1" t="s">
        <v>35</v>
      </c>
      <c r="F289" s="1" t="s">
        <v>68</v>
      </c>
      <c r="G289" s="1">
        <v>5</v>
      </c>
      <c r="H289" s="1">
        <f t="shared" si="8"/>
        <v>70323</v>
      </c>
      <c r="I289" s="1">
        <v>351615</v>
      </c>
      <c r="J289" s="6">
        <v>0.1</v>
      </c>
      <c r="K289" s="7">
        <v>316453.5</v>
      </c>
      <c r="L289" s="1" t="s">
        <v>19</v>
      </c>
      <c r="M289" s="1" t="s">
        <v>26</v>
      </c>
      <c r="N289" s="3">
        <v>45154</v>
      </c>
      <c r="O289" s="3" t="str">
        <f t="shared" si="9"/>
        <v>Aug</v>
      </c>
      <c r="P289" s="12" t="s">
        <v>122</v>
      </c>
    </row>
    <row r="290" spans="1:16" x14ac:dyDescent="0.25">
      <c r="A290" s="11" t="s">
        <v>368</v>
      </c>
      <c r="B290" s="1" t="s">
        <v>87</v>
      </c>
      <c r="C290" s="2" t="s">
        <v>51</v>
      </c>
      <c r="D290" s="1" t="s">
        <v>16</v>
      </c>
      <c r="E290" s="1" t="s">
        <v>30</v>
      </c>
      <c r="F290" s="2" t="s">
        <v>31</v>
      </c>
      <c r="G290" s="1">
        <v>2</v>
      </c>
      <c r="H290" s="1">
        <f t="shared" si="8"/>
        <v>16725</v>
      </c>
      <c r="I290" s="2">
        <v>33450</v>
      </c>
      <c r="J290" s="6">
        <v>0.2</v>
      </c>
      <c r="K290" s="8">
        <v>26760</v>
      </c>
      <c r="L290" s="2" t="s">
        <v>49</v>
      </c>
      <c r="M290" s="2" t="s">
        <v>38</v>
      </c>
      <c r="N290" s="4">
        <v>45134</v>
      </c>
      <c r="O290" s="3" t="str">
        <f t="shared" si="9"/>
        <v>Jul</v>
      </c>
      <c r="P290" s="13" t="s">
        <v>21</v>
      </c>
    </row>
    <row r="291" spans="1:16" x14ac:dyDescent="0.25">
      <c r="A291" s="10" t="s">
        <v>369</v>
      </c>
      <c r="B291" s="1" t="s">
        <v>107</v>
      </c>
      <c r="C291" s="1" t="s">
        <v>63</v>
      </c>
      <c r="D291" s="1" t="s">
        <v>29</v>
      </c>
      <c r="E291" s="1" t="s">
        <v>30</v>
      </c>
      <c r="F291" s="1" t="s">
        <v>59</v>
      </c>
      <c r="G291" s="1">
        <v>14</v>
      </c>
      <c r="H291" s="1">
        <f t="shared" si="8"/>
        <v>496902</v>
      </c>
      <c r="I291" s="1">
        <v>6956628</v>
      </c>
      <c r="J291" s="6">
        <v>0</v>
      </c>
      <c r="K291" s="7">
        <v>6956628</v>
      </c>
      <c r="L291" s="1" t="s">
        <v>60</v>
      </c>
      <c r="M291" s="1" t="s">
        <v>26</v>
      </c>
      <c r="N291" s="3">
        <v>44974</v>
      </c>
      <c r="O291" s="3" t="str">
        <f t="shared" si="9"/>
        <v>Feb</v>
      </c>
      <c r="P291" s="12" t="s">
        <v>74</v>
      </c>
    </row>
    <row r="292" spans="1:16" x14ac:dyDescent="0.25">
      <c r="A292" s="11" t="s">
        <v>370</v>
      </c>
      <c r="B292" s="1" t="s">
        <v>107</v>
      </c>
      <c r="C292" s="2" t="s">
        <v>15</v>
      </c>
      <c r="D292" s="1" t="s">
        <v>16</v>
      </c>
      <c r="E292" s="1" t="s">
        <v>35</v>
      </c>
      <c r="F292" s="2" t="s">
        <v>108</v>
      </c>
      <c r="G292" s="1">
        <v>19</v>
      </c>
      <c r="H292" s="1">
        <f t="shared" si="8"/>
        <v>70294</v>
      </c>
      <c r="I292" s="2">
        <v>1335586</v>
      </c>
      <c r="J292" s="6">
        <v>5.0000000000000037E-2</v>
      </c>
      <c r="K292" s="8">
        <v>1268806.7</v>
      </c>
      <c r="L292" s="2" t="s">
        <v>37</v>
      </c>
      <c r="M292" s="2" t="s">
        <v>20</v>
      </c>
      <c r="N292" s="4">
        <v>44958</v>
      </c>
      <c r="O292" s="3" t="str">
        <f t="shared" si="9"/>
        <v>Feb</v>
      </c>
      <c r="P292" s="13" t="s">
        <v>74</v>
      </c>
    </row>
    <row r="293" spans="1:16" x14ac:dyDescent="0.25">
      <c r="A293" s="10" t="s">
        <v>371</v>
      </c>
      <c r="B293" s="1" t="s">
        <v>41</v>
      </c>
      <c r="C293" s="1" t="s">
        <v>28</v>
      </c>
      <c r="D293" s="1" t="s">
        <v>29</v>
      </c>
      <c r="E293" s="1" t="s">
        <v>35</v>
      </c>
      <c r="F293" s="1" t="s">
        <v>108</v>
      </c>
      <c r="G293" s="1">
        <v>3</v>
      </c>
      <c r="H293" s="1">
        <f t="shared" si="8"/>
        <v>41670</v>
      </c>
      <c r="I293" s="1">
        <v>125010</v>
      </c>
      <c r="J293" s="6">
        <v>0.15</v>
      </c>
      <c r="K293" s="7">
        <v>106258.5</v>
      </c>
      <c r="L293" s="1" t="s">
        <v>60</v>
      </c>
      <c r="M293" s="1" t="s">
        <v>38</v>
      </c>
      <c r="N293" s="3">
        <v>45256</v>
      </c>
      <c r="O293" s="3" t="str">
        <f t="shared" si="9"/>
        <v>Nov</v>
      </c>
      <c r="P293" s="12" t="s">
        <v>32</v>
      </c>
    </row>
    <row r="294" spans="1:16" x14ac:dyDescent="0.25">
      <c r="A294" s="11" t="s">
        <v>372</v>
      </c>
      <c r="B294" s="1" t="s">
        <v>87</v>
      </c>
      <c r="C294" s="2" t="s">
        <v>54</v>
      </c>
      <c r="D294" s="1" t="s">
        <v>29</v>
      </c>
      <c r="E294" s="1" t="s">
        <v>17</v>
      </c>
      <c r="F294" s="2" t="s">
        <v>18</v>
      </c>
      <c r="G294" s="1">
        <v>13</v>
      </c>
      <c r="H294" s="1">
        <f t="shared" si="8"/>
        <v>403340</v>
      </c>
      <c r="I294" s="2">
        <v>5243420</v>
      </c>
      <c r="J294" s="6">
        <v>0</v>
      </c>
      <c r="K294" s="8">
        <v>5243420</v>
      </c>
      <c r="L294" s="2" t="s">
        <v>19</v>
      </c>
      <c r="M294" s="2" t="s">
        <v>20</v>
      </c>
      <c r="N294" s="4">
        <v>45211</v>
      </c>
      <c r="O294" s="3" t="str">
        <f t="shared" si="9"/>
        <v>Oct</v>
      </c>
      <c r="P294" s="13" t="s">
        <v>39</v>
      </c>
    </row>
    <row r="295" spans="1:16" x14ac:dyDescent="0.25">
      <c r="A295" s="10" t="s">
        <v>373</v>
      </c>
      <c r="B295" s="1" t="s">
        <v>62</v>
      </c>
      <c r="C295" s="1" t="s">
        <v>81</v>
      </c>
      <c r="D295" s="1" t="s">
        <v>29</v>
      </c>
      <c r="E295" s="1" t="s">
        <v>43</v>
      </c>
      <c r="F295" s="1" t="s">
        <v>98</v>
      </c>
      <c r="G295" s="1">
        <v>19</v>
      </c>
      <c r="H295" s="1">
        <f t="shared" si="8"/>
        <v>45327</v>
      </c>
      <c r="I295" s="1">
        <v>861213</v>
      </c>
      <c r="J295" s="6">
        <v>0</v>
      </c>
      <c r="K295" s="7">
        <v>861213</v>
      </c>
      <c r="L295" s="1" t="s">
        <v>19</v>
      </c>
      <c r="M295" s="1" t="s">
        <v>38</v>
      </c>
      <c r="N295" s="3">
        <v>44969</v>
      </c>
      <c r="O295" s="3" t="str">
        <f t="shared" si="9"/>
        <v>Feb</v>
      </c>
      <c r="P295" s="12" t="s">
        <v>74</v>
      </c>
    </row>
    <row r="296" spans="1:16" x14ac:dyDescent="0.25">
      <c r="A296" s="11" t="s">
        <v>374</v>
      </c>
      <c r="B296" s="1" t="s">
        <v>67</v>
      </c>
      <c r="C296" s="2" t="s">
        <v>42</v>
      </c>
      <c r="D296" s="1" t="s">
        <v>29</v>
      </c>
      <c r="E296" s="1" t="s">
        <v>30</v>
      </c>
      <c r="F296" s="2" t="s">
        <v>59</v>
      </c>
      <c r="G296" s="1">
        <v>20</v>
      </c>
      <c r="H296" s="1">
        <f t="shared" si="8"/>
        <v>20509</v>
      </c>
      <c r="I296" s="2">
        <v>410180</v>
      </c>
      <c r="J296" s="6">
        <v>0.05</v>
      </c>
      <c r="K296" s="8">
        <v>389671</v>
      </c>
      <c r="L296" s="2" t="s">
        <v>49</v>
      </c>
      <c r="M296" s="2" t="s">
        <v>26</v>
      </c>
      <c r="N296" s="4">
        <v>45246</v>
      </c>
      <c r="O296" s="3" t="str">
        <f t="shared" si="9"/>
        <v>Nov</v>
      </c>
      <c r="P296" s="13" t="s">
        <v>83</v>
      </c>
    </row>
    <row r="297" spans="1:16" x14ac:dyDescent="0.25">
      <c r="A297" s="10" t="s">
        <v>375</v>
      </c>
      <c r="B297" s="1" t="s">
        <v>67</v>
      </c>
      <c r="C297" s="1" t="s">
        <v>81</v>
      </c>
      <c r="D297" s="1" t="s">
        <v>29</v>
      </c>
      <c r="E297" s="1" t="s">
        <v>30</v>
      </c>
      <c r="F297" s="1" t="s">
        <v>142</v>
      </c>
      <c r="G297" s="1">
        <v>1</v>
      </c>
      <c r="H297" s="1">
        <f t="shared" si="8"/>
        <v>18453</v>
      </c>
      <c r="I297" s="1">
        <v>18453</v>
      </c>
      <c r="J297" s="6">
        <v>0.15000000000000005</v>
      </c>
      <c r="K297" s="7">
        <v>15685.05</v>
      </c>
      <c r="L297" s="1" t="s">
        <v>49</v>
      </c>
      <c r="M297" s="1" t="s">
        <v>64</v>
      </c>
      <c r="N297" s="3">
        <v>45219</v>
      </c>
      <c r="O297" s="3" t="str">
        <f t="shared" si="9"/>
        <v>Oct</v>
      </c>
      <c r="P297" s="12" t="s">
        <v>65</v>
      </c>
    </row>
    <row r="298" spans="1:16" x14ac:dyDescent="0.25">
      <c r="A298" s="11" t="s">
        <v>376</v>
      </c>
      <c r="B298" s="1" t="s">
        <v>101</v>
      </c>
      <c r="C298" s="2" t="s">
        <v>81</v>
      </c>
      <c r="D298" s="1" t="s">
        <v>29</v>
      </c>
      <c r="E298" s="1" t="s">
        <v>43</v>
      </c>
      <c r="F298" s="2" t="s">
        <v>142</v>
      </c>
      <c r="G298" s="1">
        <v>8</v>
      </c>
      <c r="H298" s="1">
        <f t="shared" si="8"/>
        <v>68167</v>
      </c>
      <c r="I298" s="2">
        <v>545336</v>
      </c>
      <c r="J298" s="6">
        <v>9.9999999999999964E-2</v>
      </c>
      <c r="K298" s="8">
        <v>490802.4</v>
      </c>
      <c r="L298" s="2" t="s">
        <v>49</v>
      </c>
      <c r="M298" s="2" t="s">
        <v>64</v>
      </c>
      <c r="N298" s="4">
        <v>45088</v>
      </c>
      <c r="O298" s="3" t="str">
        <f t="shared" si="9"/>
        <v>Jun</v>
      </c>
      <c r="P298" s="13" t="s">
        <v>32</v>
      </c>
    </row>
    <row r="299" spans="1:16" x14ac:dyDescent="0.25">
      <c r="A299" s="10" t="s">
        <v>377</v>
      </c>
      <c r="B299" s="1" t="s">
        <v>23</v>
      </c>
      <c r="C299" s="1" t="s">
        <v>28</v>
      </c>
      <c r="D299" s="1" t="s">
        <v>29</v>
      </c>
      <c r="E299" s="1" t="s">
        <v>17</v>
      </c>
      <c r="F299" s="1" t="s">
        <v>18</v>
      </c>
      <c r="G299" s="1">
        <v>11</v>
      </c>
      <c r="H299" s="1">
        <f t="shared" si="8"/>
        <v>28639</v>
      </c>
      <c r="I299" s="1">
        <v>315029</v>
      </c>
      <c r="J299" s="6">
        <v>0</v>
      </c>
      <c r="K299" s="7">
        <v>315029</v>
      </c>
      <c r="L299" s="1" t="s">
        <v>60</v>
      </c>
      <c r="M299" s="1" t="s">
        <v>20</v>
      </c>
      <c r="N299" s="3">
        <v>44968</v>
      </c>
      <c r="O299" s="3" t="str">
        <f t="shared" si="9"/>
        <v>Feb</v>
      </c>
      <c r="P299" s="12" t="s">
        <v>39</v>
      </c>
    </row>
    <row r="300" spans="1:16" x14ac:dyDescent="0.25">
      <c r="A300" s="11" t="s">
        <v>378</v>
      </c>
      <c r="B300" s="1" t="s">
        <v>103</v>
      </c>
      <c r="C300" s="2" t="s">
        <v>81</v>
      </c>
      <c r="D300" s="1" t="s">
        <v>29</v>
      </c>
      <c r="E300" s="1" t="s">
        <v>43</v>
      </c>
      <c r="F300" s="2" t="s">
        <v>98</v>
      </c>
      <c r="G300" s="1">
        <v>9</v>
      </c>
      <c r="H300" s="1">
        <f t="shared" si="8"/>
        <v>64429</v>
      </c>
      <c r="I300" s="2">
        <v>579861</v>
      </c>
      <c r="J300" s="6">
        <v>9.9999999999999964E-2</v>
      </c>
      <c r="K300" s="8">
        <v>521874.9</v>
      </c>
      <c r="L300" s="2" t="s">
        <v>19</v>
      </c>
      <c r="M300" s="2" t="s">
        <v>38</v>
      </c>
      <c r="N300" s="4">
        <v>45180</v>
      </c>
      <c r="O300" s="3" t="str">
        <f t="shared" si="9"/>
        <v>Sep</v>
      </c>
      <c r="P300" s="13" t="s">
        <v>55</v>
      </c>
    </row>
    <row r="301" spans="1:16" x14ac:dyDescent="0.25">
      <c r="A301" s="10" t="s">
        <v>379</v>
      </c>
      <c r="B301" s="1" t="s">
        <v>62</v>
      </c>
      <c r="C301" s="1" t="s">
        <v>28</v>
      </c>
      <c r="D301" s="1" t="s">
        <v>29</v>
      </c>
      <c r="E301" s="1" t="s">
        <v>17</v>
      </c>
      <c r="F301" s="1" t="s">
        <v>18</v>
      </c>
      <c r="G301" s="1">
        <v>15</v>
      </c>
      <c r="H301" s="1">
        <f t="shared" si="8"/>
        <v>74616</v>
      </c>
      <c r="I301" s="1">
        <v>1119240</v>
      </c>
      <c r="J301" s="6">
        <v>0.2</v>
      </c>
      <c r="K301" s="7">
        <v>895392</v>
      </c>
      <c r="L301" s="1" t="s">
        <v>37</v>
      </c>
      <c r="M301" s="1" t="s">
        <v>26</v>
      </c>
      <c r="N301" s="3">
        <v>45184</v>
      </c>
      <c r="O301" s="3" t="str">
        <f t="shared" si="9"/>
        <v>Sep</v>
      </c>
      <c r="P301" s="12" t="s">
        <v>21</v>
      </c>
    </row>
    <row r="302" spans="1:16" x14ac:dyDescent="0.25">
      <c r="A302" s="11" t="s">
        <v>380</v>
      </c>
      <c r="B302" s="1" t="s">
        <v>103</v>
      </c>
      <c r="C302" s="2" t="s">
        <v>15</v>
      </c>
      <c r="D302" s="1" t="s">
        <v>16</v>
      </c>
      <c r="E302" s="1" t="s">
        <v>35</v>
      </c>
      <c r="F302" s="2" t="s">
        <v>36</v>
      </c>
      <c r="G302" s="1">
        <v>17</v>
      </c>
      <c r="H302" s="1">
        <f t="shared" si="8"/>
        <v>23214</v>
      </c>
      <c r="I302" s="2">
        <v>394638</v>
      </c>
      <c r="J302" s="6">
        <v>0.15000000000000002</v>
      </c>
      <c r="K302" s="8">
        <v>335442.3</v>
      </c>
      <c r="L302" s="2" t="s">
        <v>49</v>
      </c>
      <c r="M302" s="2" t="s">
        <v>20</v>
      </c>
      <c r="N302" s="4">
        <v>45050</v>
      </c>
      <c r="O302" s="3" t="str">
        <f t="shared" si="9"/>
        <v>May</v>
      </c>
      <c r="P302" s="13" t="s">
        <v>21</v>
      </c>
    </row>
    <row r="303" spans="1:16" x14ac:dyDescent="0.25">
      <c r="A303" s="10" t="s">
        <v>381</v>
      </c>
      <c r="B303" s="1" t="s">
        <v>57</v>
      </c>
      <c r="C303" s="1" t="s">
        <v>28</v>
      </c>
      <c r="D303" s="1" t="s">
        <v>29</v>
      </c>
      <c r="E303" s="1" t="s">
        <v>17</v>
      </c>
      <c r="F303" s="1" t="s">
        <v>82</v>
      </c>
      <c r="G303" s="1">
        <v>8</v>
      </c>
      <c r="H303" s="1">
        <f t="shared" si="8"/>
        <v>36726</v>
      </c>
      <c r="I303" s="1">
        <v>293808</v>
      </c>
      <c r="J303" s="6">
        <v>9.9999999999999964E-2</v>
      </c>
      <c r="K303" s="7">
        <v>264427.2</v>
      </c>
      <c r="L303" s="1" t="s">
        <v>60</v>
      </c>
      <c r="M303" s="1" t="s">
        <v>38</v>
      </c>
      <c r="N303" s="3">
        <v>45270</v>
      </c>
      <c r="O303" s="3" t="str">
        <f t="shared" si="9"/>
        <v>Dec</v>
      </c>
      <c r="P303" s="12" t="s">
        <v>21</v>
      </c>
    </row>
    <row r="304" spans="1:16" x14ac:dyDescent="0.25">
      <c r="A304" s="11" t="s">
        <v>382</v>
      </c>
      <c r="B304" s="1" t="s">
        <v>53</v>
      </c>
      <c r="C304" s="2" t="s">
        <v>15</v>
      </c>
      <c r="D304" s="1" t="s">
        <v>16</v>
      </c>
      <c r="E304" s="1" t="s">
        <v>35</v>
      </c>
      <c r="F304" s="2" t="s">
        <v>36</v>
      </c>
      <c r="G304" s="1">
        <v>6</v>
      </c>
      <c r="H304" s="1">
        <f t="shared" si="8"/>
        <v>56000</v>
      </c>
      <c r="I304" s="2">
        <v>336000</v>
      </c>
      <c r="J304" s="6">
        <v>0</v>
      </c>
      <c r="K304" s="8">
        <v>336000</v>
      </c>
      <c r="L304" s="2" t="s">
        <v>37</v>
      </c>
      <c r="M304" s="2" t="s">
        <v>26</v>
      </c>
      <c r="N304" s="4">
        <v>44987</v>
      </c>
      <c r="O304" s="3" t="str">
        <f t="shared" si="9"/>
        <v>Mar</v>
      </c>
      <c r="P304" s="13" t="s">
        <v>65</v>
      </c>
    </row>
    <row r="305" spans="1:16" x14ac:dyDescent="0.25">
      <c r="A305" s="10" t="s">
        <v>383</v>
      </c>
      <c r="B305" s="1" t="s">
        <v>53</v>
      </c>
      <c r="C305" s="1" t="s">
        <v>15</v>
      </c>
      <c r="D305" s="1" t="s">
        <v>16</v>
      </c>
      <c r="E305" s="1" t="s">
        <v>24</v>
      </c>
      <c r="F305" s="1" t="s">
        <v>71</v>
      </c>
      <c r="G305" s="1">
        <v>8</v>
      </c>
      <c r="H305" s="1">
        <f t="shared" si="8"/>
        <v>33864</v>
      </c>
      <c r="I305" s="1">
        <v>270912</v>
      </c>
      <c r="J305" s="6">
        <v>0</v>
      </c>
      <c r="K305" s="7">
        <v>270912</v>
      </c>
      <c r="L305" s="1" t="s">
        <v>49</v>
      </c>
      <c r="M305" s="1" t="s">
        <v>38</v>
      </c>
      <c r="N305" s="3">
        <v>44959</v>
      </c>
      <c r="O305" s="3" t="str">
        <f t="shared" si="9"/>
        <v>Feb</v>
      </c>
      <c r="P305" s="12" t="s">
        <v>77</v>
      </c>
    </row>
    <row r="306" spans="1:16" x14ac:dyDescent="0.25">
      <c r="A306" s="11" t="s">
        <v>384</v>
      </c>
      <c r="B306" s="1" t="s">
        <v>34</v>
      </c>
      <c r="C306" s="2" t="s">
        <v>47</v>
      </c>
      <c r="D306" s="1" t="s">
        <v>16</v>
      </c>
      <c r="E306" s="1" t="s">
        <v>35</v>
      </c>
      <c r="F306" s="2" t="s">
        <v>108</v>
      </c>
      <c r="G306" s="1">
        <v>14</v>
      </c>
      <c r="H306" s="1">
        <f t="shared" si="8"/>
        <v>58424</v>
      </c>
      <c r="I306" s="2">
        <v>817936</v>
      </c>
      <c r="J306" s="6">
        <v>9.9999999999999978E-2</v>
      </c>
      <c r="K306" s="8">
        <v>736142.4</v>
      </c>
      <c r="L306" s="2" t="s">
        <v>702</v>
      </c>
      <c r="M306" s="2" t="s">
        <v>64</v>
      </c>
      <c r="N306" s="4">
        <v>45043</v>
      </c>
      <c r="O306" s="3" t="str">
        <f t="shared" si="9"/>
        <v>Apr</v>
      </c>
      <c r="P306" s="13" t="s">
        <v>45</v>
      </c>
    </row>
    <row r="307" spans="1:16" x14ac:dyDescent="0.25">
      <c r="A307" s="10" t="s">
        <v>385</v>
      </c>
      <c r="B307" s="1" t="s">
        <v>157</v>
      </c>
      <c r="C307" s="1" t="s">
        <v>81</v>
      </c>
      <c r="D307" s="1" t="s">
        <v>29</v>
      </c>
      <c r="E307" s="1" t="s">
        <v>30</v>
      </c>
      <c r="F307" s="1" t="s">
        <v>31</v>
      </c>
      <c r="G307" s="1">
        <v>12</v>
      </c>
      <c r="H307" s="1">
        <f t="shared" si="8"/>
        <v>39671</v>
      </c>
      <c r="I307" s="1">
        <v>476052</v>
      </c>
      <c r="J307" s="6">
        <v>0</v>
      </c>
      <c r="K307" s="7">
        <v>476052</v>
      </c>
      <c r="L307" s="1" t="s">
        <v>49</v>
      </c>
      <c r="M307" s="1" t="s">
        <v>26</v>
      </c>
      <c r="N307" s="3">
        <v>44975</v>
      </c>
      <c r="O307" s="3" t="str">
        <f t="shared" si="9"/>
        <v>Feb</v>
      </c>
      <c r="P307" s="12" t="s">
        <v>65</v>
      </c>
    </row>
    <row r="308" spans="1:16" x14ac:dyDescent="0.25">
      <c r="A308" s="11" t="s">
        <v>386</v>
      </c>
      <c r="B308" s="1" t="s">
        <v>62</v>
      </c>
      <c r="C308" s="2" t="s">
        <v>28</v>
      </c>
      <c r="D308" s="1" t="s">
        <v>29</v>
      </c>
      <c r="E308" s="1" t="s">
        <v>17</v>
      </c>
      <c r="F308" s="2" t="s">
        <v>82</v>
      </c>
      <c r="G308" s="1">
        <v>20</v>
      </c>
      <c r="H308" s="1">
        <f t="shared" si="8"/>
        <v>54774</v>
      </c>
      <c r="I308" s="2">
        <v>1095480</v>
      </c>
      <c r="J308" s="6">
        <v>0.1</v>
      </c>
      <c r="K308" s="8">
        <v>985932</v>
      </c>
      <c r="L308" s="2" t="s">
        <v>60</v>
      </c>
      <c r="M308" s="2" t="s">
        <v>26</v>
      </c>
      <c r="N308" s="4">
        <v>45024</v>
      </c>
      <c r="O308" s="3" t="str">
        <f t="shared" si="9"/>
        <v>Apr</v>
      </c>
      <c r="P308" s="13" t="s">
        <v>45</v>
      </c>
    </row>
    <row r="309" spans="1:16" x14ac:dyDescent="0.25">
      <c r="A309" s="10" t="s">
        <v>387</v>
      </c>
      <c r="B309" s="1" t="s">
        <v>114</v>
      </c>
      <c r="C309" s="1" t="s">
        <v>58</v>
      </c>
      <c r="D309" s="1" t="s">
        <v>29</v>
      </c>
      <c r="E309" s="1" t="s">
        <v>43</v>
      </c>
      <c r="F309" s="1" t="s">
        <v>98</v>
      </c>
      <c r="G309" s="1">
        <v>4</v>
      </c>
      <c r="H309" s="1">
        <f t="shared" si="8"/>
        <v>166023</v>
      </c>
      <c r="I309" s="1">
        <v>664092</v>
      </c>
      <c r="J309" s="6">
        <v>4.9999999999999968E-2</v>
      </c>
      <c r="K309" s="7">
        <v>630887.4</v>
      </c>
      <c r="L309" s="1" t="s">
        <v>37</v>
      </c>
      <c r="M309" s="1" t="s">
        <v>38</v>
      </c>
      <c r="N309" s="3">
        <v>45157</v>
      </c>
      <c r="O309" s="3" t="str">
        <f t="shared" si="9"/>
        <v>Aug</v>
      </c>
      <c r="P309" s="12" t="s">
        <v>32</v>
      </c>
    </row>
    <row r="310" spans="1:16" x14ac:dyDescent="0.25">
      <c r="A310" s="11" t="s">
        <v>388</v>
      </c>
      <c r="B310" s="1" t="s">
        <v>90</v>
      </c>
      <c r="C310" s="2" t="s">
        <v>15</v>
      </c>
      <c r="D310" s="1" t="s">
        <v>16</v>
      </c>
      <c r="E310" s="1" t="s">
        <v>43</v>
      </c>
      <c r="F310" s="2" t="s">
        <v>142</v>
      </c>
      <c r="G310" s="1">
        <v>20</v>
      </c>
      <c r="H310" s="1">
        <f t="shared" si="8"/>
        <v>24112</v>
      </c>
      <c r="I310" s="2">
        <v>482240</v>
      </c>
      <c r="J310" s="6">
        <v>0.15</v>
      </c>
      <c r="K310" s="8">
        <v>409904</v>
      </c>
      <c r="L310" s="2" t="s">
        <v>60</v>
      </c>
      <c r="M310" s="2" t="s">
        <v>20</v>
      </c>
      <c r="N310" s="4">
        <v>45010</v>
      </c>
      <c r="O310" s="3" t="str">
        <f t="shared" si="9"/>
        <v>Mar</v>
      </c>
      <c r="P310" s="13" t="s">
        <v>55</v>
      </c>
    </row>
    <row r="311" spans="1:16" x14ac:dyDescent="0.25">
      <c r="A311" s="10" t="s">
        <v>389</v>
      </c>
      <c r="B311" s="1" t="s">
        <v>103</v>
      </c>
      <c r="C311" s="1" t="s">
        <v>81</v>
      </c>
      <c r="D311" s="1" t="s">
        <v>29</v>
      </c>
      <c r="E311" s="1" t="s">
        <v>17</v>
      </c>
      <c r="F311" s="1" t="s">
        <v>82</v>
      </c>
      <c r="G311" s="1">
        <v>15</v>
      </c>
      <c r="H311" s="1">
        <f t="shared" si="8"/>
        <v>66789</v>
      </c>
      <c r="I311" s="1">
        <v>1001835</v>
      </c>
      <c r="J311" s="6">
        <v>0.15</v>
      </c>
      <c r="K311" s="7">
        <v>851559.75</v>
      </c>
      <c r="L311" s="1" t="s">
        <v>37</v>
      </c>
      <c r="M311" s="1" t="s">
        <v>38</v>
      </c>
      <c r="N311" s="3">
        <v>45226</v>
      </c>
      <c r="O311" s="3" t="str">
        <f t="shared" si="9"/>
        <v>Oct</v>
      </c>
      <c r="P311" s="12" t="s">
        <v>21</v>
      </c>
    </row>
    <row r="312" spans="1:16" x14ac:dyDescent="0.25">
      <c r="A312" s="11" t="s">
        <v>390</v>
      </c>
      <c r="B312" s="1" t="s">
        <v>80</v>
      </c>
      <c r="C312" s="2" t="s">
        <v>42</v>
      </c>
      <c r="D312" s="1" t="s">
        <v>29</v>
      </c>
      <c r="E312" s="1" t="s">
        <v>35</v>
      </c>
      <c r="F312" s="2" t="s">
        <v>68</v>
      </c>
      <c r="G312" s="1">
        <v>13</v>
      </c>
      <c r="H312" s="1">
        <f t="shared" si="8"/>
        <v>63407</v>
      </c>
      <c r="I312" s="2">
        <v>824291</v>
      </c>
      <c r="J312" s="6">
        <v>0.19999999999999996</v>
      </c>
      <c r="K312" s="8">
        <v>659432.80000000005</v>
      </c>
      <c r="L312" s="2" t="s">
        <v>49</v>
      </c>
      <c r="M312" s="2" t="s">
        <v>38</v>
      </c>
      <c r="N312" s="4">
        <v>45206</v>
      </c>
      <c r="O312" s="3" t="str">
        <f t="shared" si="9"/>
        <v>Oct</v>
      </c>
      <c r="P312" s="13" t="s">
        <v>45</v>
      </c>
    </row>
    <row r="313" spans="1:16" x14ac:dyDescent="0.25">
      <c r="A313" s="10" t="s">
        <v>391</v>
      </c>
      <c r="B313" s="1" t="s">
        <v>76</v>
      </c>
      <c r="C313" s="1" t="s">
        <v>51</v>
      </c>
      <c r="D313" s="1" t="s">
        <v>16</v>
      </c>
      <c r="E313" s="1" t="s">
        <v>30</v>
      </c>
      <c r="F313" s="1" t="s">
        <v>125</v>
      </c>
      <c r="G313" s="1">
        <v>6</v>
      </c>
      <c r="H313" s="1">
        <f t="shared" si="8"/>
        <v>38903</v>
      </c>
      <c r="I313" s="1">
        <v>233418</v>
      </c>
      <c r="J313" s="6">
        <v>0</v>
      </c>
      <c r="K313" s="7">
        <v>233418</v>
      </c>
      <c r="L313" s="1" t="s">
        <v>37</v>
      </c>
      <c r="M313" s="1" t="s">
        <v>64</v>
      </c>
      <c r="N313" s="3">
        <v>45013</v>
      </c>
      <c r="O313" s="3" t="str">
        <f t="shared" si="9"/>
        <v>Mar</v>
      </c>
      <c r="P313" s="12" t="s">
        <v>74</v>
      </c>
    </row>
    <row r="314" spans="1:16" x14ac:dyDescent="0.25">
      <c r="A314" s="11" t="s">
        <v>392</v>
      </c>
      <c r="B314" s="1" t="s">
        <v>107</v>
      </c>
      <c r="C314" s="2" t="s">
        <v>28</v>
      </c>
      <c r="D314" s="1" t="s">
        <v>29</v>
      </c>
      <c r="E314" s="1" t="s">
        <v>43</v>
      </c>
      <c r="F314" s="2" t="s">
        <v>142</v>
      </c>
      <c r="G314" s="1">
        <v>11</v>
      </c>
      <c r="H314" s="1">
        <f t="shared" si="8"/>
        <v>79167</v>
      </c>
      <c r="I314" s="2">
        <v>870837</v>
      </c>
      <c r="J314" s="6">
        <v>0</v>
      </c>
      <c r="K314" s="8">
        <v>870837</v>
      </c>
      <c r="L314" s="2" t="s">
        <v>60</v>
      </c>
      <c r="M314" s="2" t="s">
        <v>38</v>
      </c>
      <c r="N314" s="4">
        <v>45279</v>
      </c>
      <c r="O314" s="3" t="str">
        <f t="shared" si="9"/>
        <v>Dec</v>
      </c>
      <c r="P314" s="13" t="s">
        <v>83</v>
      </c>
    </row>
    <row r="315" spans="1:16" x14ac:dyDescent="0.25">
      <c r="A315" s="10" t="s">
        <v>393</v>
      </c>
      <c r="B315" s="1" t="s">
        <v>157</v>
      </c>
      <c r="C315" s="1" t="s">
        <v>54</v>
      </c>
      <c r="D315" s="1" t="s">
        <v>29</v>
      </c>
      <c r="E315" s="1" t="s">
        <v>43</v>
      </c>
      <c r="F315" s="1" t="s">
        <v>44</v>
      </c>
      <c r="G315" s="1">
        <v>11</v>
      </c>
      <c r="H315" s="1">
        <f t="shared" si="8"/>
        <v>188033</v>
      </c>
      <c r="I315" s="1">
        <v>2068363</v>
      </c>
      <c r="J315" s="6">
        <v>0</v>
      </c>
      <c r="K315" s="7">
        <v>2068363</v>
      </c>
      <c r="L315" s="1" t="s">
        <v>49</v>
      </c>
      <c r="M315" s="1" t="s">
        <v>64</v>
      </c>
      <c r="N315" s="3">
        <v>45116</v>
      </c>
      <c r="O315" s="3" t="str">
        <f t="shared" si="9"/>
        <v>Jul</v>
      </c>
      <c r="P315" s="12" t="s">
        <v>32</v>
      </c>
    </row>
    <row r="316" spans="1:16" x14ac:dyDescent="0.25">
      <c r="A316" s="11" t="s">
        <v>394</v>
      </c>
      <c r="B316" s="1" t="s">
        <v>34</v>
      </c>
      <c r="C316" s="2" t="s">
        <v>47</v>
      </c>
      <c r="D316" s="1" t="s">
        <v>16</v>
      </c>
      <c r="E316" s="1" t="s">
        <v>17</v>
      </c>
      <c r="F316" s="2" t="s">
        <v>73</v>
      </c>
      <c r="G316" s="1">
        <v>11</v>
      </c>
      <c r="H316" s="1">
        <f t="shared" si="8"/>
        <v>7844</v>
      </c>
      <c r="I316" s="2">
        <v>86284</v>
      </c>
      <c r="J316" s="6">
        <v>9.9999999999999936E-2</v>
      </c>
      <c r="K316" s="8">
        <v>77655.600000000006</v>
      </c>
      <c r="L316" s="2" t="s">
        <v>60</v>
      </c>
      <c r="M316" s="2" t="s">
        <v>64</v>
      </c>
      <c r="N316" s="4">
        <v>44941</v>
      </c>
      <c r="O316" s="3" t="str">
        <f t="shared" si="9"/>
        <v>Jan</v>
      </c>
      <c r="P316" s="13" t="s">
        <v>77</v>
      </c>
    </row>
    <row r="317" spans="1:16" x14ac:dyDescent="0.25">
      <c r="A317" s="10" t="s">
        <v>395</v>
      </c>
      <c r="B317" s="1" t="s">
        <v>53</v>
      </c>
      <c r="C317" s="1" t="s">
        <v>63</v>
      </c>
      <c r="D317" s="1" t="s">
        <v>29</v>
      </c>
      <c r="E317" s="1" t="s">
        <v>35</v>
      </c>
      <c r="F317" s="1" t="s">
        <v>68</v>
      </c>
      <c r="G317" s="1">
        <v>15</v>
      </c>
      <c r="H317" s="1">
        <f t="shared" si="8"/>
        <v>482839</v>
      </c>
      <c r="I317" s="1">
        <v>7242585</v>
      </c>
      <c r="J317" s="6">
        <v>0.1</v>
      </c>
      <c r="K317" s="7">
        <v>6518326.5</v>
      </c>
      <c r="L317" s="1" t="s">
        <v>37</v>
      </c>
      <c r="M317" s="1" t="s">
        <v>38</v>
      </c>
      <c r="N317" s="3">
        <v>45134</v>
      </c>
      <c r="O317" s="3" t="str">
        <f t="shared" si="9"/>
        <v>Jul</v>
      </c>
      <c r="P317" s="12" t="s">
        <v>122</v>
      </c>
    </row>
    <row r="318" spans="1:16" x14ac:dyDescent="0.25">
      <c r="A318" s="11" t="s">
        <v>396</v>
      </c>
      <c r="B318" s="1" t="s">
        <v>67</v>
      </c>
      <c r="C318" s="2" t="s">
        <v>15</v>
      </c>
      <c r="D318" s="1" t="s">
        <v>16</v>
      </c>
      <c r="E318" s="1" t="s">
        <v>17</v>
      </c>
      <c r="F318" s="2" t="s">
        <v>18</v>
      </c>
      <c r="G318" s="1">
        <v>16</v>
      </c>
      <c r="H318" s="1">
        <f t="shared" si="8"/>
        <v>33760</v>
      </c>
      <c r="I318" s="2">
        <v>540160</v>
      </c>
      <c r="J318" s="6">
        <v>0.1</v>
      </c>
      <c r="K318" s="8">
        <v>486144</v>
      </c>
      <c r="L318" s="2" t="s">
        <v>49</v>
      </c>
      <c r="M318" s="2" t="s">
        <v>26</v>
      </c>
      <c r="N318" s="4">
        <v>45099</v>
      </c>
      <c r="O318" s="3" t="str">
        <f t="shared" si="9"/>
        <v>Jun</v>
      </c>
      <c r="P318" s="13" t="s">
        <v>45</v>
      </c>
    </row>
    <row r="319" spans="1:16" x14ac:dyDescent="0.25">
      <c r="A319" s="10" t="s">
        <v>397</v>
      </c>
      <c r="B319" s="1" t="s">
        <v>85</v>
      </c>
      <c r="C319" s="1" t="s">
        <v>15</v>
      </c>
      <c r="D319" s="1" t="s">
        <v>16</v>
      </c>
      <c r="E319" s="1" t="s">
        <v>24</v>
      </c>
      <c r="F319" s="1" t="s">
        <v>48</v>
      </c>
      <c r="G319" s="1">
        <v>13</v>
      </c>
      <c r="H319" s="1">
        <f t="shared" si="8"/>
        <v>47778</v>
      </c>
      <c r="I319" s="1">
        <v>621114</v>
      </c>
      <c r="J319" s="6">
        <v>0</v>
      </c>
      <c r="K319" s="7">
        <v>621114</v>
      </c>
      <c r="L319" s="1" t="s">
        <v>37</v>
      </c>
      <c r="M319" s="1" t="s">
        <v>38</v>
      </c>
      <c r="N319" s="3">
        <v>45095</v>
      </c>
      <c r="O319" s="3" t="str">
        <f t="shared" si="9"/>
        <v>Jun</v>
      </c>
      <c r="P319" s="12" t="s">
        <v>45</v>
      </c>
    </row>
    <row r="320" spans="1:16" x14ac:dyDescent="0.25">
      <c r="A320" s="11" t="s">
        <v>398</v>
      </c>
      <c r="B320" s="1" t="s">
        <v>67</v>
      </c>
      <c r="C320" s="2" t="s">
        <v>81</v>
      </c>
      <c r="D320" s="1" t="s">
        <v>29</v>
      </c>
      <c r="E320" s="1" t="s">
        <v>24</v>
      </c>
      <c r="F320" s="2" t="s">
        <v>71</v>
      </c>
      <c r="G320" s="1">
        <v>14</v>
      </c>
      <c r="H320" s="1">
        <f t="shared" si="8"/>
        <v>50309</v>
      </c>
      <c r="I320" s="2">
        <v>704326</v>
      </c>
      <c r="J320" s="6">
        <v>9.9999999999999964E-2</v>
      </c>
      <c r="K320" s="8">
        <v>633893.4</v>
      </c>
      <c r="L320" s="2" t="s">
        <v>49</v>
      </c>
      <c r="M320" s="2" t="s">
        <v>26</v>
      </c>
      <c r="N320" s="4">
        <v>45117</v>
      </c>
      <c r="O320" s="3" t="str">
        <f t="shared" si="9"/>
        <v>Jul</v>
      </c>
      <c r="P320" s="13" t="s">
        <v>65</v>
      </c>
    </row>
    <row r="321" spans="1:16" x14ac:dyDescent="0.25">
      <c r="A321" s="10" t="s">
        <v>399</v>
      </c>
      <c r="B321" s="1" t="s">
        <v>90</v>
      </c>
      <c r="C321" s="1" t="s">
        <v>47</v>
      </c>
      <c r="D321" s="1" t="s">
        <v>16</v>
      </c>
      <c r="E321" s="1" t="s">
        <v>30</v>
      </c>
      <c r="F321" s="1" t="s">
        <v>31</v>
      </c>
      <c r="G321" s="1">
        <v>12</v>
      </c>
      <c r="H321" s="1">
        <f t="shared" si="8"/>
        <v>55181</v>
      </c>
      <c r="I321" s="1">
        <v>662172</v>
      </c>
      <c r="J321" s="6">
        <v>0.20000000000000004</v>
      </c>
      <c r="K321" s="7">
        <v>529737.6</v>
      </c>
      <c r="L321" s="1" t="s">
        <v>60</v>
      </c>
      <c r="M321" s="1" t="s">
        <v>26</v>
      </c>
      <c r="N321" s="3">
        <f>N320</f>
        <v>45117</v>
      </c>
      <c r="O321" s="3" t="str">
        <f t="shared" si="9"/>
        <v>Jul</v>
      </c>
      <c r="P321" s="12" t="s">
        <v>83</v>
      </c>
    </row>
    <row r="322" spans="1:16" x14ac:dyDescent="0.25">
      <c r="A322" s="11" t="s">
        <v>400</v>
      </c>
      <c r="B322" s="1" t="s">
        <v>62</v>
      </c>
      <c r="C322" s="2" t="s">
        <v>70</v>
      </c>
      <c r="D322" s="1" t="s">
        <v>16</v>
      </c>
      <c r="E322" s="1" t="s">
        <v>30</v>
      </c>
      <c r="F322" s="2" t="s">
        <v>125</v>
      </c>
      <c r="G322" s="1">
        <v>15</v>
      </c>
      <c r="H322" s="1">
        <f t="shared" ref="H322:H385" si="10">I322/G322</f>
        <v>48874</v>
      </c>
      <c r="I322" s="2">
        <v>733110</v>
      </c>
      <c r="J322" s="6">
        <v>0.15</v>
      </c>
      <c r="K322" s="8">
        <v>623143.5</v>
      </c>
      <c r="L322" s="2" t="s">
        <v>19</v>
      </c>
      <c r="M322" s="2" t="s">
        <v>20</v>
      </c>
      <c r="N322" s="4">
        <v>45222</v>
      </c>
      <c r="O322" s="3" t="str">
        <f t="shared" si="9"/>
        <v>Oct</v>
      </c>
      <c r="P322" s="13" t="s">
        <v>122</v>
      </c>
    </row>
    <row r="323" spans="1:16" x14ac:dyDescent="0.25">
      <c r="A323" s="10" t="s">
        <v>401</v>
      </c>
      <c r="B323" s="1" t="s">
        <v>90</v>
      </c>
      <c r="C323" s="1" t="s">
        <v>81</v>
      </c>
      <c r="D323" s="1" t="s">
        <v>29</v>
      </c>
      <c r="E323" s="1" t="s">
        <v>43</v>
      </c>
      <c r="F323" s="1" t="s">
        <v>142</v>
      </c>
      <c r="G323" s="1">
        <v>8</v>
      </c>
      <c r="H323" s="1">
        <f t="shared" si="10"/>
        <v>93725.25</v>
      </c>
      <c r="I323" s="1">
        <v>749802</v>
      </c>
      <c r="J323" s="6">
        <v>0.15000000000000005</v>
      </c>
      <c r="K323" s="7">
        <v>637331.69999999995</v>
      </c>
      <c r="L323" s="1" t="s">
        <v>60</v>
      </c>
      <c r="M323" s="1" t="s">
        <v>38</v>
      </c>
      <c r="N323" s="3">
        <v>45091</v>
      </c>
      <c r="O323" s="3" t="str">
        <f t="shared" ref="O323:O386" si="11">TEXT(N323,"mmm")</f>
        <v>Jun</v>
      </c>
      <c r="P323" s="12" t="s">
        <v>74</v>
      </c>
    </row>
    <row r="324" spans="1:16" x14ac:dyDescent="0.25">
      <c r="A324" s="11" t="s">
        <v>402</v>
      </c>
      <c r="B324" s="1" t="s">
        <v>34</v>
      </c>
      <c r="C324" s="2" t="s">
        <v>51</v>
      </c>
      <c r="D324" s="1" t="s">
        <v>16</v>
      </c>
      <c r="E324" s="1" t="s">
        <v>35</v>
      </c>
      <c r="F324" s="2" t="s">
        <v>36</v>
      </c>
      <c r="G324" s="1">
        <v>7</v>
      </c>
      <c r="H324" s="1">
        <f t="shared" si="10"/>
        <v>21737.857142857141</v>
      </c>
      <c r="I324" s="2">
        <v>152165</v>
      </c>
      <c r="J324" s="6">
        <v>0.2</v>
      </c>
      <c r="K324" s="8">
        <v>121732</v>
      </c>
      <c r="L324" s="2" t="s">
        <v>702</v>
      </c>
      <c r="M324" s="2" t="s">
        <v>20</v>
      </c>
      <c r="N324" s="4">
        <v>44970</v>
      </c>
      <c r="O324" s="3" t="str">
        <f t="shared" si="11"/>
        <v>Feb</v>
      </c>
      <c r="P324" s="13" t="s">
        <v>32</v>
      </c>
    </row>
    <row r="325" spans="1:16" x14ac:dyDescent="0.25">
      <c r="A325" s="11" t="s">
        <v>403</v>
      </c>
      <c r="B325" s="1" t="s">
        <v>80</v>
      </c>
      <c r="C325" s="2" t="s">
        <v>51</v>
      </c>
      <c r="D325" s="1" t="s">
        <v>16</v>
      </c>
      <c r="E325" s="1" t="s">
        <v>17</v>
      </c>
      <c r="F325" s="2" t="s">
        <v>18</v>
      </c>
      <c r="G325" s="1">
        <v>19</v>
      </c>
      <c r="H325" s="1">
        <f t="shared" si="10"/>
        <v>61511</v>
      </c>
      <c r="I325" s="2">
        <v>1168709</v>
      </c>
      <c r="J325" s="6">
        <v>0.14999999999999997</v>
      </c>
      <c r="K325" s="8">
        <v>993402.65</v>
      </c>
      <c r="L325" s="2" t="s">
        <v>60</v>
      </c>
      <c r="M325" s="2" t="s">
        <v>38</v>
      </c>
      <c r="N325" s="4">
        <v>45252</v>
      </c>
      <c r="O325" s="3" t="str">
        <f t="shared" si="11"/>
        <v>Nov</v>
      </c>
      <c r="P325" s="13" t="s">
        <v>55</v>
      </c>
    </row>
    <row r="326" spans="1:16" x14ac:dyDescent="0.25">
      <c r="A326" s="10" t="s">
        <v>404</v>
      </c>
      <c r="B326" s="1" t="s">
        <v>119</v>
      </c>
      <c r="C326" s="1" t="s">
        <v>70</v>
      </c>
      <c r="D326" s="1" t="s">
        <v>16</v>
      </c>
      <c r="E326" s="1" t="s">
        <v>24</v>
      </c>
      <c r="F326" s="1" t="s">
        <v>25</v>
      </c>
      <c r="G326" s="1">
        <v>11</v>
      </c>
      <c r="H326" s="1">
        <f t="shared" si="10"/>
        <v>16368</v>
      </c>
      <c r="I326" s="1">
        <v>180048</v>
      </c>
      <c r="J326" s="6">
        <v>0.15000000000000008</v>
      </c>
      <c r="K326" s="7">
        <v>153040.79999999999</v>
      </c>
      <c r="L326" s="1" t="s">
        <v>60</v>
      </c>
      <c r="M326" s="1" t="s">
        <v>26</v>
      </c>
      <c r="N326" s="3">
        <v>45144</v>
      </c>
      <c r="O326" s="3" t="str">
        <f t="shared" si="11"/>
        <v>Aug</v>
      </c>
      <c r="P326" s="12" t="s">
        <v>39</v>
      </c>
    </row>
    <row r="327" spans="1:16" x14ac:dyDescent="0.25">
      <c r="A327" s="11" t="s">
        <v>405</v>
      </c>
      <c r="B327" s="1" t="s">
        <v>92</v>
      </c>
      <c r="C327" s="2" t="s">
        <v>47</v>
      </c>
      <c r="D327" s="1" t="s">
        <v>16</v>
      </c>
      <c r="E327" s="1" t="s">
        <v>30</v>
      </c>
      <c r="F327" s="2" t="s">
        <v>125</v>
      </c>
      <c r="G327" s="1">
        <v>16</v>
      </c>
      <c r="H327" s="1">
        <f t="shared" si="10"/>
        <v>73632</v>
      </c>
      <c r="I327" s="2">
        <v>1178112</v>
      </c>
      <c r="J327" s="6">
        <v>9.9999999999999964E-2</v>
      </c>
      <c r="K327" s="8">
        <v>1060300.8</v>
      </c>
      <c r="L327" s="2" t="s">
        <v>49</v>
      </c>
      <c r="M327" s="2" t="s">
        <v>38</v>
      </c>
      <c r="N327" s="4">
        <v>45040</v>
      </c>
      <c r="O327" s="3" t="str">
        <f t="shared" si="11"/>
        <v>Apr</v>
      </c>
      <c r="P327" s="13" t="s">
        <v>39</v>
      </c>
    </row>
    <row r="328" spans="1:16" x14ac:dyDescent="0.25">
      <c r="A328" s="10" t="s">
        <v>406</v>
      </c>
      <c r="B328" s="1" t="s">
        <v>87</v>
      </c>
      <c r="C328" s="1" t="s">
        <v>58</v>
      </c>
      <c r="D328" s="1" t="s">
        <v>29</v>
      </c>
      <c r="E328" s="1" t="s">
        <v>17</v>
      </c>
      <c r="F328" s="1" t="s">
        <v>125</v>
      </c>
      <c r="G328" s="1">
        <v>3</v>
      </c>
      <c r="H328" s="1">
        <f t="shared" si="10"/>
        <v>316649</v>
      </c>
      <c r="I328" s="1">
        <v>949947</v>
      </c>
      <c r="J328" s="6">
        <v>0.2</v>
      </c>
      <c r="K328" s="7">
        <v>759957.6</v>
      </c>
      <c r="L328" s="1" t="s">
        <v>49</v>
      </c>
      <c r="M328" s="1" t="s">
        <v>38</v>
      </c>
      <c r="N328" s="3">
        <v>45125</v>
      </c>
      <c r="O328" s="3" t="str">
        <f t="shared" si="11"/>
        <v>Jul</v>
      </c>
      <c r="P328" s="12" t="s">
        <v>32</v>
      </c>
    </row>
    <row r="329" spans="1:16" x14ac:dyDescent="0.25">
      <c r="A329" s="11" t="s">
        <v>407</v>
      </c>
      <c r="B329" s="1" t="s">
        <v>92</v>
      </c>
      <c r="C329" s="2" t="s">
        <v>28</v>
      </c>
      <c r="D329" s="1" t="s">
        <v>29</v>
      </c>
      <c r="E329" s="1" t="s">
        <v>17</v>
      </c>
      <c r="F329" s="2" t="s">
        <v>82</v>
      </c>
      <c r="G329" s="1">
        <v>2</v>
      </c>
      <c r="H329" s="1">
        <f t="shared" si="10"/>
        <v>39099</v>
      </c>
      <c r="I329" s="2">
        <v>78198</v>
      </c>
      <c r="J329" s="6">
        <v>0.14999999999999997</v>
      </c>
      <c r="K329" s="8">
        <v>66468.3</v>
      </c>
      <c r="L329" s="2" t="s">
        <v>37</v>
      </c>
      <c r="M329" s="2" t="s">
        <v>20</v>
      </c>
      <c r="N329" s="4">
        <v>45102</v>
      </c>
      <c r="O329" s="3" t="str">
        <f t="shared" si="11"/>
        <v>Jun</v>
      </c>
      <c r="P329" s="13" t="s">
        <v>45</v>
      </c>
    </row>
    <row r="330" spans="1:16" x14ac:dyDescent="0.25">
      <c r="A330" s="10" t="s">
        <v>408</v>
      </c>
      <c r="B330" s="1" t="s">
        <v>101</v>
      </c>
      <c r="C330" s="1" t="s">
        <v>81</v>
      </c>
      <c r="D330" s="1" t="s">
        <v>29</v>
      </c>
      <c r="E330" s="1" t="s">
        <v>43</v>
      </c>
      <c r="F330" s="1" t="s">
        <v>142</v>
      </c>
      <c r="G330" s="1">
        <v>2</v>
      </c>
      <c r="H330" s="1">
        <f t="shared" si="10"/>
        <v>16287</v>
      </c>
      <c r="I330" s="1">
        <v>32574</v>
      </c>
      <c r="J330" s="6">
        <v>0.14999999999999997</v>
      </c>
      <c r="K330" s="7">
        <v>27687.9</v>
      </c>
      <c r="L330" s="1" t="s">
        <v>37</v>
      </c>
      <c r="M330" s="1" t="s">
        <v>20</v>
      </c>
      <c r="N330" s="3">
        <v>45057</v>
      </c>
      <c r="O330" s="3" t="str">
        <f t="shared" si="11"/>
        <v>May</v>
      </c>
      <c r="P330" s="12" t="s">
        <v>122</v>
      </c>
    </row>
    <row r="331" spans="1:16" x14ac:dyDescent="0.25">
      <c r="A331" s="11" t="s">
        <v>409</v>
      </c>
      <c r="B331" s="1" t="s">
        <v>702</v>
      </c>
      <c r="C331" s="2" t="s">
        <v>28</v>
      </c>
      <c r="D331" s="1" t="s">
        <v>212</v>
      </c>
      <c r="E331" s="1" t="s">
        <v>35</v>
      </c>
      <c r="F331" s="2" t="s">
        <v>108</v>
      </c>
      <c r="G331" s="1">
        <v>1</v>
      </c>
      <c r="H331" s="1">
        <f t="shared" si="10"/>
        <v>42268</v>
      </c>
      <c r="I331" s="2">
        <v>42268</v>
      </c>
      <c r="J331" s="6">
        <v>0.14999999999999994</v>
      </c>
      <c r="K331" s="8">
        <v>35927.800000000003</v>
      </c>
      <c r="L331" s="2" t="s">
        <v>19</v>
      </c>
      <c r="M331" s="2" t="s">
        <v>38</v>
      </c>
      <c r="N331" s="4">
        <v>45170</v>
      </c>
      <c r="O331" s="3" t="str">
        <f t="shared" si="11"/>
        <v>Sep</v>
      </c>
      <c r="P331" s="13" t="s">
        <v>83</v>
      </c>
    </row>
    <row r="332" spans="1:16" x14ac:dyDescent="0.25">
      <c r="A332" s="10" t="s">
        <v>410</v>
      </c>
      <c r="B332" s="1" t="s">
        <v>702</v>
      </c>
      <c r="C332" s="1" t="s">
        <v>81</v>
      </c>
      <c r="D332" s="1" t="s">
        <v>29</v>
      </c>
      <c r="E332" s="1" t="s">
        <v>30</v>
      </c>
      <c r="F332" s="1" t="s">
        <v>31</v>
      </c>
      <c r="G332" s="1">
        <v>4</v>
      </c>
      <c r="H332" s="1">
        <f t="shared" si="10"/>
        <v>18928</v>
      </c>
      <c r="I332" s="1">
        <v>75712</v>
      </c>
      <c r="J332" s="6">
        <v>0.15000000000000005</v>
      </c>
      <c r="K332" s="7">
        <v>64355.199999999997</v>
      </c>
      <c r="L332" s="1" t="s">
        <v>60</v>
      </c>
      <c r="M332" s="1" t="s">
        <v>20</v>
      </c>
      <c r="N332" s="3">
        <v>45116</v>
      </c>
      <c r="O332" s="3" t="str">
        <f t="shared" si="11"/>
        <v>Jul</v>
      </c>
      <c r="P332" s="12" t="s">
        <v>77</v>
      </c>
    </row>
    <row r="333" spans="1:16" x14ac:dyDescent="0.25">
      <c r="A333" s="11" t="s">
        <v>411</v>
      </c>
      <c r="B333" s="1" t="s">
        <v>95</v>
      </c>
      <c r="C333" s="2" t="s">
        <v>54</v>
      </c>
      <c r="D333" s="1" t="s">
        <v>29</v>
      </c>
      <c r="E333" s="1" t="s">
        <v>17</v>
      </c>
      <c r="F333" s="2" t="s">
        <v>18</v>
      </c>
      <c r="G333" s="1">
        <v>19</v>
      </c>
      <c r="H333" s="1">
        <f t="shared" si="10"/>
        <v>368411</v>
      </c>
      <c r="I333" s="2">
        <v>6999809</v>
      </c>
      <c r="J333" s="6">
        <v>0.19999999999999998</v>
      </c>
      <c r="K333" s="8">
        <v>5599847.2000000002</v>
      </c>
      <c r="L333" s="2" t="s">
        <v>19</v>
      </c>
      <c r="M333" s="2" t="s">
        <v>20</v>
      </c>
      <c r="N333" s="4">
        <v>45146</v>
      </c>
      <c r="O333" s="3" t="str">
        <f t="shared" si="11"/>
        <v>Aug</v>
      </c>
      <c r="P333" s="13" t="s">
        <v>45</v>
      </c>
    </row>
    <row r="334" spans="1:16" x14ac:dyDescent="0.25">
      <c r="A334" s="10" t="s">
        <v>325</v>
      </c>
      <c r="B334" s="1" t="s">
        <v>23</v>
      </c>
      <c r="C334" s="1" t="s">
        <v>70</v>
      </c>
      <c r="D334" s="1" t="s">
        <v>16</v>
      </c>
      <c r="E334" s="1" t="s">
        <v>30</v>
      </c>
      <c r="F334" s="1" t="s">
        <v>31</v>
      </c>
      <c r="G334" s="1">
        <v>5</v>
      </c>
      <c r="H334" s="1">
        <f t="shared" si="10"/>
        <v>37859</v>
      </c>
      <c r="I334" s="1">
        <v>189295</v>
      </c>
      <c r="J334" s="6">
        <v>0</v>
      </c>
      <c r="K334" s="7">
        <v>189295</v>
      </c>
      <c r="L334" s="1" t="s">
        <v>37</v>
      </c>
      <c r="M334" s="1" t="s">
        <v>20</v>
      </c>
      <c r="N334" s="3">
        <v>45192</v>
      </c>
      <c r="O334" s="3" t="str">
        <f t="shared" si="11"/>
        <v>Sep</v>
      </c>
      <c r="P334" s="12" t="s">
        <v>83</v>
      </c>
    </row>
    <row r="335" spans="1:16" x14ac:dyDescent="0.25">
      <c r="A335" s="11" t="s">
        <v>412</v>
      </c>
      <c r="B335" s="1" t="s">
        <v>114</v>
      </c>
      <c r="C335" s="2" t="s">
        <v>47</v>
      </c>
      <c r="D335" s="1" t="s">
        <v>16</v>
      </c>
      <c r="E335" s="1" t="s">
        <v>17</v>
      </c>
      <c r="F335" s="2" t="s">
        <v>73</v>
      </c>
      <c r="G335" s="1">
        <v>8</v>
      </c>
      <c r="H335" s="1">
        <f t="shared" si="10"/>
        <v>69752</v>
      </c>
      <c r="I335" s="2">
        <v>558016</v>
      </c>
      <c r="J335" s="6">
        <v>0</v>
      </c>
      <c r="K335" s="8">
        <v>558016</v>
      </c>
      <c r="L335" s="2" t="s">
        <v>19</v>
      </c>
      <c r="M335" s="2" t="s">
        <v>26</v>
      </c>
      <c r="N335" s="4">
        <v>45055</v>
      </c>
      <c r="O335" s="3" t="str">
        <f t="shared" si="11"/>
        <v>May</v>
      </c>
      <c r="P335" s="13" t="s">
        <v>74</v>
      </c>
    </row>
    <row r="336" spans="1:16" x14ac:dyDescent="0.25">
      <c r="A336" s="10" t="s">
        <v>413</v>
      </c>
      <c r="B336" s="1" t="s">
        <v>95</v>
      </c>
      <c r="C336" s="1" t="s">
        <v>70</v>
      </c>
      <c r="D336" s="1" t="s">
        <v>212</v>
      </c>
      <c r="E336" s="1" t="s">
        <v>30</v>
      </c>
      <c r="F336" s="1" t="s">
        <v>31</v>
      </c>
      <c r="G336" s="1">
        <v>10</v>
      </c>
      <c r="H336" s="1">
        <f t="shared" si="10"/>
        <v>21691</v>
      </c>
      <c r="I336" s="1">
        <v>216910</v>
      </c>
      <c r="J336" s="6">
        <v>0.05</v>
      </c>
      <c r="K336" s="7">
        <v>206064.5</v>
      </c>
      <c r="L336" s="1" t="s">
        <v>37</v>
      </c>
      <c r="M336" s="1" t="s">
        <v>64</v>
      </c>
      <c r="N336" s="3">
        <v>45005</v>
      </c>
      <c r="O336" s="3" t="str">
        <f t="shared" si="11"/>
        <v>Mar</v>
      </c>
      <c r="P336" s="12" t="s">
        <v>77</v>
      </c>
    </row>
    <row r="337" spans="1:16" x14ac:dyDescent="0.25">
      <c r="A337" s="11" t="s">
        <v>414</v>
      </c>
      <c r="B337" s="1" t="s">
        <v>80</v>
      </c>
      <c r="C337" s="2" t="s">
        <v>54</v>
      </c>
      <c r="D337" s="1" t="s">
        <v>29</v>
      </c>
      <c r="E337" s="1" t="s">
        <v>17</v>
      </c>
      <c r="F337" s="2" t="s">
        <v>73</v>
      </c>
      <c r="G337" s="1">
        <v>1</v>
      </c>
      <c r="H337" s="1">
        <f t="shared" si="10"/>
        <v>326743</v>
      </c>
      <c r="I337" s="2">
        <v>326743</v>
      </c>
      <c r="J337" s="6">
        <v>9.9999999999999964E-2</v>
      </c>
      <c r="K337" s="8">
        <v>294068.7</v>
      </c>
      <c r="L337" s="2" t="s">
        <v>60</v>
      </c>
      <c r="M337" s="2" t="s">
        <v>38</v>
      </c>
      <c r="N337" s="4">
        <v>45227</v>
      </c>
      <c r="O337" s="3" t="str">
        <f t="shared" si="11"/>
        <v>Oct</v>
      </c>
      <c r="P337" s="13" t="s">
        <v>45</v>
      </c>
    </row>
    <row r="338" spans="1:16" x14ac:dyDescent="0.25">
      <c r="A338" s="10" t="s">
        <v>415</v>
      </c>
      <c r="B338" s="1" t="s">
        <v>92</v>
      </c>
      <c r="C338" s="1" t="s">
        <v>70</v>
      </c>
      <c r="D338" s="1" t="s">
        <v>16</v>
      </c>
      <c r="E338" s="1" t="s">
        <v>35</v>
      </c>
      <c r="F338" s="1" t="s">
        <v>108</v>
      </c>
      <c r="G338" s="1">
        <v>12</v>
      </c>
      <c r="H338" s="1">
        <f t="shared" si="10"/>
        <v>33992</v>
      </c>
      <c r="I338" s="1">
        <v>407904</v>
      </c>
      <c r="J338" s="6">
        <v>5.0000000000000031E-2</v>
      </c>
      <c r="K338" s="7">
        <v>387508.8</v>
      </c>
      <c r="L338" s="1" t="s">
        <v>19</v>
      </c>
      <c r="M338" s="1" t="s">
        <v>20</v>
      </c>
      <c r="N338" s="3">
        <v>45041</v>
      </c>
      <c r="O338" s="3" t="str">
        <f t="shared" si="11"/>
        <v>Apr</v>
      </c>
      <c r="P338" s="12" t="s">
        <v>74</v>
      </c>
    </row>
    <row r="339" spans="1:16" x14ac:dyDescent="0.25">
      <c r="A339" s="11" t="s">
        <v>416</v>
      </c>
      <c r="B339" s="1" t="s">
        <v>85</v>
      </c>
      <c r="C339" s="2" t="s">
        <v>54</v>
      </c>
      <c r="D339" s="1" t="s">
        <v>29</v>
      </c>
      <c r="E339" s="1" t="s">
        <v>30</v>
      </c>
      <c r="F339" s="2" t="s">
        <v>125</v>
      </c>
      <c r="G339" s="1">
        <v>2</v>
      </c>
      <c r="H339" s="1">
        <f t="shared" si="10"/>
        <v>493792</v>
      </c>
      <c r="I339" s="2">
        <v>987584</v>
      </c>
      <c r="J339" s="6">
        <v>0.10000000000000002</v>
      </c>
      <c r="K339" s="8">
        <v>888825.6</v>
      </c>
      <c r="L339" s="2" t="s">
        <v>19</v>
      </c>
      <c r="M339" s="2" t="s">
        <v>26</v>
      </c>
      <c r="N339" s="4">
        <v>45131</v>
      </c>
      <c r="O339" s="3" t="str">
        <f t="shared" si="11"/>
        <v>Jul</v>
      </c>
      <c r="P339" s="13" t="s">
        <v>83</v>
      </c>
    </row>
    <row r="340" spans="1:16" x14ac:dyDescent="0.25">
      <c r="A340" s="10" t="s">
        <v>313</v>
      </c>
      <c r="B340" s="1" t="s">
        <v>95</v>
      </c>
      <c r="C340" s="1" t="s">
        <v>28</v>
      </c>
      <c r="D340" s="1" t="s">
        <v>29</v>
      </c>
      <c r="E340" s="1" t="s">
        <v>35</v>
      </c>
      <c r="F340" s="1" t="s">
        <v>68</v>
      </c>
      <c r="G340" s="1">
        <v>3</v>
      </c>
      <c r="H340" s="1">
        <f t="shared" si="10"/>
        <v>39290</v>
      </c>
      <c r="I340" s="1">
        <v>117870</v>
      </c>
      <c r="J340" s="6">
        <v>0.1</v>
      </c>
      <c r="K340" s="7">
        <v>106083</v>
      </c>
      <c r="L340" s="1" t="s">
        <v>702</v>
      </c>
      <c r="M340" s="1" t="s">
        <v>20</v>
      </c>
      <c r="N340" s="3">
        <v>45186</v>
      </c>
      <c r="O340" s="3" t="str">
        <f t="shared" si="11"/>
        <v>Sep</v>
      </c>
      <c r="P340" s="12" t="s">
        <v>74</v>
      </c>
    </row>
    <row r="341" spans="1:16" x14ac:dyDescent="0.25">
      <c r="A341" s="10" t="s">
        <v>417</v>
      </c>
      <c r="B341" s="1" t="s">
        <v>80</v>
      </c>
      <c r="C341" s="1" t="s">
        <v>54</v>
      </c>
      <c r="D341" s="1" t="s">
        <v>29</v>
      </c>
      <c r="E341" s="1" t="s">
        <v>35</v>
      </c>
      <c r="F341" s="1" t="s">
        <v>68</v>
      </c>
      <c r="G341" s="1">
        <v>3</v>
      </c>
      <c r="H341" s="1">
        <f t="shared" si="10"/>
        <v>296996</v>
      </c>
      <c r="I341" s="1">
        <v>890988</v>
      </c>
      <c r="J341" s="6">
        <v>0.19999999999999998</v>
      </c>
      <c r="K341" s="7">
        <v>712790.4</v>
      </c>
      <c r="L341" s="1" t="s">
        <v>49</v>
      </c>
      <c r="M341" s="1" t="s">
        <v>38</v>
      </c>
      <c r="N341" s="3">
        <v>44932</v>
      </c>
      <c r="O341" s="3" t="str">
        <f t="shared" si="11"/>
        <v>Jan</v>
      </c>
      <c r="P341" s="12" t="s">
        <v>122</v>
      </c>
    </row>
    <row r="342" spans="1:16" x14ac:dyDescent="0.25">
      <c r="A342" s="11" t="s">
        <v>418</v>
      </c>
      <c r="B342" s="1" t="s">
        <v>119</v>
      </c>
      <c r="C342" s="2" t="s">
        <v>15</v>
      </c>
      <c r="D342" s="1" t="s">
        <v>16</v>
      </c>
      <c r="E342" s="1" t="s">
        <v>24</v>
      </c>
      <c r="F342" s="2" t="s">
        <v>25</v>
      </c>
      <c r="G342" s="1">
        <v>16</v>
      </c>
      <c r="H342" s="1">
        <f t="shared" si="10"/>
        <v>52617</v>
      </c>
      <c r="I342" s="2">
        <v>841872</v>
      </c>
      <c r="J342" s="6">
        <v>0.15000000000000005</v>
      </c>
      <c r="K342" s="8">
        <v>715591.2</v>
      </c>
      <c r="L342" s="2" t="s">
        <v>60</v>
      </c>
      <c r="M342" s="2" t="s">
        <v>64</v>
      </c>
      <c r="N342" s="4">
        <v>45266</v>
      </c>
      <c r="O342" s="3" t="str">
        <f t="shared" si="11"/>
        <v>Dec</v>
      </c>
      <c r="P342" s="13" t="s">
        <v>65</v>
      </c>
    </row>
    <row r="343" spans="1:16" x14ac:dyDescent="0.25">
      <c r="A343" s="10" t="s">
        <v>325</v>
      </c>
      <c r="B343" s="1" t="s">
        <v>53</v>
      </c>
      <c r="C343" s="1" t="s">
        <v>42</v>
      </c>
      <c r="D343" s="1" t="s">
        <v>29</v>
      </c>
      <c r="E343" s="1" t="s">
        <v>43</v>
      </c>
      <c r="F343" s="1" t="s">
        <v>98</v>
      </c>
      <c r="G343" s="1">
        <v>19</v>
      </c>
      <c r="H343" s="1">
        <f t="shared" si="10"/>
        <v>31467</v>
      </c>
      <c r="I343" s="1">
        <v>597873</v>
      </c>
      <c r="J343" s="6">
        <v>0.15000000000000002</v>
      </c>
      <c r="K343" s="7">
        <v>508192.05</v>
      </c>
      <c r="L343" s="1" t="s">
        <v>19</v>
      </c>
      <c r="M343" s="1" t="s">
        <v>38</v>
      </c>
      <c r="N343" s="3">
        <v>45284</v>
      </c>
      <c r="O343" s="3" t="str">
        <f t="shared" si="11"/>
        <v>Dec</v>
      </c>
      <c r="P343" s="12" t="s">
        <v>55</v>
      </c>
    </row>
    <row r="344" spans="1:16" x14ac:dyDescent="0.25">
      <c r="A344" s="11" t="s">
        <v>419</v>
      </c>
      <c r="B344" s="1" t="s">
        <v>57</v>
      </c>
      <c r="C344" s="2" t="s">
        <v>15</v>
      </c>
      <c r="D344" s="1" t="s">
        <v>16</v>
      </c>
      <c r="E344" s="1" t="s">
        <v>43</v>
      </c>
      <c r="F344" s="2" t="s">
        <v>98</v>
      </c>
      <c r="G344" s="1">
        <v>9</v>
      </c>
      <c r="H344" s="1">
        <f t="shared" si="10"/>
        <v>9288</v>
      </c>
      <c r="I344" s="2">
        <v>83592</v>
      </c>
      <c r="J344" s="6">
        <v>9.9999999999999964E-2</v>
      </c>
      <c r="K344" s="8">
        <v>75232.800000000003</v>
      </c>
      <c r="L344" s="2" t="s">
        <v>37</v>
      </c>
      <c r="M344" s="2" t="s">
        <v>38</v>
      </c>
      <c r="N344" s="4">
        <v>45022</v>
      </c>
      <c r="O344" s="3" t="str">
        <f t="shared" si="11"/>
        <v>Apr</v>
      </c>
      <c r="P344" s="13" t="s">
        <v>77</v>
      </c>
    </row>
    <row r="345" spans="1:16" x14ac:dyDescent="0.25">
      <c r="A345" s="10" t="s">
        <v>420</v>
      </c>
      <c r="B345" s="1" t="s">
        <v>107</v>
      </c>
      <c r="C345" s="1" t="s">
        <v>58</v>
      </c>
      <c r="D345" s="1" t="s">
        <v>29</v>
      </c>
      <c r="E345" s="1" t="s">
        <v>43</v>
      </c>
      <c r="F345" s="1" t="s">
        <v>98</v>
      </c>
      <c r="G345" s="1">
        <v>16</v>
      </c>
      <c r="H345" s="1">
        <f t="shared" si="10"/>
        <v>433518</v>
      </c>
      <c r="I345" s="1">
        <v>6936288</v>
      </c>
      <c r="J345" s="6">
        <v>0</v>
      </c>
      <c r="K345" s="7">
        <v>6936288</v>
      </c>
      <c r="L345" s="1" t="s">
        <v>37</v>
      </c>
      <c r="M345" s="1" t="s">
        <v>38</v>
      </c>
      <c r="N345" s="3">
        <v>45024</v>
      </c>
      <c r="O345" s="3" t="str">
        <f t="shared" si="11"/>
        <v>Apr</v>
      </c>
      <c r="P345" s="12" t="s">
        <v>32</v>
      </c>
    </row>
    <row r="346" spans="1:16" x14ac:dyDescent="0.25">
      <c r="A346" s="11" t="s">
        <v>421</v>
      </c>
      <c r="B346" s="1" t="s">
        <v>157</v>
      </c>
      <c r="C346" s="2" t="s">
        <v>42</v>
      </c>
      <c r="D346" s="1" t="s">
        <v>29</v>
      </c>
      <c r="E346" s="1" t="s">
        <v>30</v>
      </c>
      <c r="F346" s="2" t="s">
        <v>125</v>
      </c>
      <c r="G346" s="1">
        <v>20</v>
      </c>
      <c r="H346" s="1">
        <f t="shared" si="10"/>
        <v>79607</v>
      </c>
      <c r="I346" s="2">
        <v>1592140</v>
      </c>
      <c r="J346" s="6">
        <v>0.1</v>
      </c>
      <c r="K346" s="8">
        <v>1432926</v>
      </c>
      <c r="L346" s="2" t="s">
        <v>37</v>
      </c>
      <c r="M346" s="2" t="s">
        <v>20</v>
      </c>
      <c r="N346" s="4">
        <v>45273</v>
      </c>
      <c r="O346" s="3" t="str">
        <f t="shared" si="11"/>
        <v>Dec</v>
      </c>
      <c r="P346" s="13" t="s">
        <v>65</v>
      </c>
    </row>
    <row r="347" spans="1:16" x14ac:dyDescent="0.25">
      <c r="A347" s="10" t="s">
        <v>422</v>
      </c>
      <c r="B347" s="1" t="s">
        <v>67</v>
      </c>
      <c r="C347" s="1" t="s">
        <v>58</v>
      </c>
      <c r="D347" s="1" t="s">
        <v>29</v>
      </c>
      <c r="E347" s="1" t="s">
        <v>17</v>
      </c>
      <c r="F347" s="1" t="s">
        <v>73</v>
      </c>
      <c r="G347" s="1">
        <v>20</v>
      </c>
      <c r="H347" s="1">
        <f t="shared" si="10"/>
        <v>298441</v>
      </c>
      <c r="I347" s="1">
        <v>5968820</v>
      </c>
      <c r="J347" s="6">
        <v>0.1</v>
      </c>
      <c r="K347" s="7">
        <v>5371938</v>
      </c>
      <c r="L347" s="1" t="s">
        <v>19</v>
      </c>
      <c r="M347" s="1" t="s">
        <v>64</v>
      </c>
      <c r="N347" s="3">
        <v>44974</v>
      </c>
      <c r="O347" s="3" t="str">
        <f t="shared" si="11"/>
        <v>Feb</v>
      </c>
      <c r="P347" s="12" t="s">
        <v>55</v>
      </c>
    </row>
    <row r="348" spans="1:16" x14ac:dyDescent="0.25">
      <c r="A348" s="11" t="s">
        <v>423</v>
      </c>
      <c r="B348" s="1" t="s">
        <v>41</v>
      </c>
      <c r="C348" s="2" t="s">
        <v>54</v>
      </c>
      <c r="D348" s="1" t="s">
        <v>29</v>
      </c>
      <c r="E348" s="1" t="s">
        <v>43</v>
      </c>
      <c r="F348" s="2" t="s">
        <v>142</v>
      </c>
      <c r="G348" s="1">
        <v>11</v>
      </c>
      <c r="H348" s="1">
        <f t="shared" si="10"/>
        <v>304231</v>
      </c>
      <c r="I348" s="2">
        <v>3346541</v>
      </c>
      <c r="J348" s="6">
        <v>0.14999999999999997</v>
      </c>
      <c r="K348" s="8">
        <v>2844559.85</v>
      </c>
      <c r="L348" s="2" t="s">
        <v>37</v>
      </c>
      <c r="M348" s="2" t="s">
        <v>20</v>
      </c>
      <c r="N348" s="4">
        <v>45278</v>
      </c>
      <c r="O348" s="3" t="str">
        <f t="shared" si="11"/>
        <v>Dec</v>
      </c>
      <c r="P348" s="13" t="s">
        <v>77</v>
      </c>
    </row>
    <row r="349" spans="1:16" x14ac:dyDescent="0.25">
      <c r="A349" s="10" t="s">
        <v>424</v>
      </c>
      <c r="B349" s="1" t="s">
        <v>62</v>
      </c>
      <c r="C349" s="1" t="s">
        <v>42</v>
      </c>
      <c r="D349" s="1" t="s">
        <v>29</v>
      </c>
      <c r="E349" s="1" t="s">
        <v>30</v>
      </c>
      <c r="F349" s="1" t="s">
        <v>125</v>
      </c>
      <c r="G349" s="1">
        <v>10</v>
      </c>
      <c r="H349" s="1">
        <f t="shared" si="10"/>
        <v>47517</v>
      </c>
      <c r="I349" s="1">
        <v>475170</v>
      </c>
      <c r="J349" s="6">
        <v>0.2</v>
      </c>
      <c r="K349" s="7">
        <v>380136</v>
      </c>
      <c r="L349" s="1" t="s">
        <v>49</v>
      </c>
      <c r="M349" s="1" t="s">
        <v>38</v>
      </c>
      <c r="N349" s="3">
        <f>N348</f>
        <v>45278</v>
      </c>
      <c r="O349" s="3" t="str">
        <f t="shared" si="11"/>
        <v>Dec</v>
      </c>
      <c r="P349" s="12" t="s">
        <v>74</v>
      </c>
    </row>
    <row r="350" spans="1:16" x14ac:dyDescent="0.25">
      <c r="A350" s="11" t="s">
        <v>425</v>
      </c>
      <c r="B350" s="1" t="s">
        <v>92</v>
      </c>
      <c r="C350" s="2" t="s">
        <v>51</v>
      </c>
      <c r="D350" s="1" t="s">
        <v>16</v>
      </c>
      <c r="E350" s="1" t="s">
        <v>35</v>
      </c>
      <c r="F350" s="2" t="s">
        <v>108</v>
      </c>
      <c r="G350" s="1">
        <v>18</v>
      </c>
      <c r="H350" s="1">
        <f t="shared" si="10"/>
        <v>28394</v>
      </c>
      <c r="I350" s="2">
        <v>511092</v>
      </c>
      <c r="J350" s="6">
        <v>0.14999999999999997</v>
      </c>
      <c r="K350" s="8">
        <v>434428.2</v>
      </c>
      <c r="L350" s="2" t="s">
        <v>60</v>
      </c>
      <c r="M350" s="2" t="s">
        <v>20</v>
      </c>
      <c r="N350" s="4">
        <v>45009</v>
      </c>
      <c r="O350" s="3" t="str">
        <f t="shared" si="11"/>
        <v>Mar</v>
      </c>
      <c r="P350" s="13" t="s">
        <v>122</v>
      </c>
    </row>
    <row r="351" spans="1:16" x14ac:dyDescent="0.25">
      <c r="A351" s="10" t="s">
        <v>426</v>
      </c>
      <c r="B351" s="1" t="s">
        <v>90</v>
      </c>
      <c r="C351" s="1" t="s">
        <v>28</v>
      </c>
      <c r="D351" s="1" t="s">
        <v>29</v>
      </c>
      <c r="E351" s="1" t="s">
        <v>24</v>
      </c>
      <c r="F351" s="1" t="s">
        <v>71</v>
      </c>
      <c r="G351" s="1">
        <v>5</v>
      </c>
      <c r="H351" s="1">
        <f t="shared" si="10"/>
        <v>35537</v>
      </c>
      <c r="I351" s="1">
        <v>177685</v>
      </c>
      <c r="J351" s="6">
        <v>0</v>
      </c>
      <c r="K351" s="7">
        <v>177685</v>
      </c>
      <c r="L351" s="1" t="s">
        <v>60</v>
      </c>
      <c r="M351" s="1" t="s">
        <v>26</v>
      </c>
      <c r="N351" s="3">
        <v>44937</v>
      </c>
      <c r="O351" s="3" t="str">
        <f t="shared" si="11"/>
        <v>Jan</v>
      </c>
      <c r="P351" s="12" t="s">
        <v>83</v>
      </c>
    </row>
    <row r="352" spans="1:16" x14ac:dyDescent="0.25">
      <c r="A352" s="11" t="s">
        <v>427</v>
      </c>
      <c r="B352" s="1" t="s">
        <v>157</v>
      </c>
      <c r="C352" s="2" t="s">
        <v>28</v>
      </c>
      <c r="D352" s="1" t="s">
        <v>29</v>
      </c>
      <c r="E352" s="1" t="s">
        <v>17</v>
      </c>
      <c r="F352" s="2" t="s">
        <v>73</v>
      </c>
      <c r="G352" s="1">
        <v>13</v>
      </c>
      <c r="H352" s="1">
        <f t="shared" si="10"/>
        <v>53953</v>
      </c>
      <c r="I352" s="2">
        <v>701389</v>
      </c>
      <c r="J352" s="6">
        <v>4.9999999999999933E-2</v>
      </c>
      <c r="K352" s="8">
        <v>666319.55000000005</v>
      </c>
      <c r="L352" s="2" t="s">
        <v>60</v>
      </c>
      <c r="M352" s="2" t="s">
        <v>20</v>
      </c>
      <c r="N352" s="4">
        <v>45112</v>
      </c>
      <c r="O352" s="3" t="str">
        <f t="shared" si="11"/>
        <v>Jul</v>
      </c>
      <c r="P352" s="13" t="s">
        <v>77</v>
      </c>
    </row>
    <row r="353" spans="1:16" x14ac:dyDescent="0.25">
      <c r="A353" s="10" t="s">
        <v>428</v>
      </c>
      <c r="B353" s="1" t="s">
        <v>90</v>
      </c>
      <c r="C353" s="1" t="s">
        <v>70</v>
      </c>
      <c r="D353" s="1" t="s">
        <v>16</v>
      </c>
      <c r="E353" s="1" t="s">
        <v>43</v>
      </c>
      <c r="F353" s="1" t="s">
        <v>142</v>
      </c>
      <c r="G353" s="1">
        <v>8</v>
      </c>
      <c r="H353" s="1">
        <f t="shared" si="10"/>
        <v>75747</v>
      </c>
      <c r="I353" s="1">
        <v>605976</v>
      </c>
      <c r="J353" s="6">
        <v>5.0000000000000079E-2</v>
      </c>
      <c r="K353" s="7">
        <v>575677.19999999995</v>
      </c>
      <c r="L353" s="1" t="s">
        <v>19</v>
      </c>
      <c r="M353" s="1" t="s">
        <v>38</v>
      </c>
      <c r="N353" s="3">
        <v>45279</v>
      </c>
      <c r="O353" s="3" t="str">
        <f t="shared" si="11"/>
        <v>Dec</v>
      </c>
      <c r="P353" s="12" t="s">
        <v>77</v>
      </c>
    </row>
    <row r="354" spans="1:16" x14ac:dyDescent="0.25">
      <c r="A354" s="11" t="s">
        <v>429</v>
      </c>
      <c r="B354" s="1" t="s">
        <v>23</v>
      </c>
      <c r="C354" s="2" t="s">
        <v>81</v>
      </c>
      <c r="D354" s="1" t="s">
        <v>29</v>
      </c>
      <c r="E354" s="1" t="s">
        <v>43</v>
      </c>
      <c r="F354" s="2" t="s">
        <v>142</v>
      </c>
      <c r="G354" s="1">
        <v>15</v>
      </c>
      <c r="H354" s="1">
        <f t="shared" si="10"/>
        <v>71086</v>
      </c>
      <c r="I354" s="2">
        <v>1066290</v>
      </c>
      <c r="J354" s="6">
        <v>0.05</v>
      </c>
      <c r="K354" s="8">
        <v>1012975.5</v>
      </c>
      <c r="L354" s="2" t="s">
        <v>49</v>
      </c>
      <c r="M354" s="2" t="s">
        <v>26</v>
      </c>
      <c r="N354" s="4">
        <v>45215</v>
      </c>
      <c r="O354" s="3" t="str">
        <f t="shared" si="11"/>
        <v>Oct</v>
      </c>
      <c r="P354" s="13" t="s">
        <v>32</v>
      </c>
    </row>
    <row r="355" spans="1:16" x14ac:dyDescent="0.25">
      <c r="A355" s="10" t="s">
        <v>430</v>
      </c>
      <c r="B355" s="1" t="s">
        <v>53</v>
      </c>
      <c r="C355" s="1" t="s">
        <v>70</v>
      </c>
      <c r="D355" s="1" t="s">
        <v>212</v>
      </c>
      <c r="E355" s="1" t="s">
        <v>35</v>
      </c>
      <c r="F355" s="1" t="s">
        <v>68</v>
      </c>
      <c r="G355" s="1">
        <v>18</v>
      </c>
      <c r="H355" s="1">
        <f t="shared" si="10"/>
        <v>5773</v>
      </c>
      <c r="I355" s="1">
        <v>103914</v>
      </c>
      <c r="J355" s="6">
        <v>0.20000000000000004</v>
      </c>
      <c r="K355" s="7">
        <v>83131.199999999997</v>
      </c>
      <c r="L355" s="1" t="s">
        <v>49</v>
      </c>
      <c r="M355" s="1" t="s">
        <v>64</v>
      </c>
      <c r="N355" s="3">
        <v>45094</v>
      </c>
      <c r="O355" s="3" t="str">
        <f t="shared" si="11"/>
        <v>Jun</v>
      </c>
      <c r="P355" s="12" t="s">
        <v>55</v>
      </c>
    </row>
    <row r="356" spans="1:16" x14ac:dyDescent="0.25">
      <c r="A356" s="11" t="s">
        <v>431</v>
      </c>
      <c r="B356" s="1" t="s">
        <v>107</v>
      </c>
      <c r="C356" s="2" t="s">
        <v>58</v>
      </c>
      <c r="D356" s="1" t="s">
        <v>29</v>
      </c>
      <c r="E356" s="1" t="s">
        <v>17</v>
      </c>
      <c r="F356" s="2" t="s">
        <v>73</v>
      </c>
      <c r="G356" s="1">
        <v>18</v>
      </c>
      <c r="H356" s="1">
        <f t="shared" si="10"/>
        <v>353888</v>
      </c>
      <c r="I356" s="2">
        <v>6369984</v>
      </c>
      <c r="J356" s="6">
        <v>5.0000000000000031E-2</v>
      </c>
      <c r="K356" s="8">
        <v>6051484.7999999998</v>
      </c>
      <c r="L356" s="2" t="s">
        <v>19</v>
      </c>
      <c r="M356" s="2" t="s">
        <v>64</v>
      </c>
      <c r="N356" s="4">
        <v>45120</v>
      </c>
      <c r="O356" s="3" t="str">
        <f t="shared" si="11"/>
        <v>Jul</v>
      </c>
      <c r="P356" s="13" t="s">
        <v>45</v>
      </c>
    </row>
    <row r="357" spans="1:16" x14ac:dyDescent="0.25">
      <c r="A357" s="10" t="s">
        <v>432</v>
      </c>
      <c r="B357" s="1" t="s">
        <v>34</v>
      </c>
      <c r="C357" s="1" t="s">
        <v>51</v>
      </c>
      <c r="D357" s="1" t="s">
        <v>16</v>
      </c>
      <c r="E357" s="1" t="s">
        <v>43</v>
      </c>
      <c r="F357" s="1" t="s">
        <v>98</v>
      </c>
      <c r="G357" s="1">
        <v>15</v>
      </c>
      <c r="H357" s="1">
        <f t="shared" si="10"/>
        <v>75855</v>
      </c>
      <c r="I357" s="1">
        <v>1137825</v>
      </c>
      <c r="J357" s="6">
        <v>0.1</v>
      </c>
      <c r="K357" s="7">
        <v>1024042.5</v>
      </c>
      <c r="L357" s="1" t="s">
        <v>60</v>
      </c>
      <c r="M357" s="1" t="s">
        <v>38</v>
      </c>
      <c r="N357" s="3">
        <v>45219</v>
      </c>
      <c r="O357" s="3" t="str">
        <f t="shared" si="11"/>
        <v>Oct</v>
      </c>
      <c r="P357" s="12" t="s">
        <v>83</v>
      </c>
    </row>
    <row r="358" spans="1:16" x14ac:dyDescent="0.25">
      <c r="A358" s="11" t="s">
        <v>433</v>
      </c>
      <c r="B358" s="1" t="s">
        <v>34</v>
      </c>
      <c r="C358" s="2" t="s">
        <v>28</v>
      </c>
      <c r="D358" s="1" t="s">
        <v>29</v>
      </c>
      <c r="E358" s="1" t="s">
        <v>17</v>
      </c>
      <c r="F358" s="2" t="s">
        <v>73</v>
      </c>
      <c r="G358" s="1">
        <v>9</v>
      </c>
      <c r="H358" s="1">
        <f t="shared" si="10"/>
        <v>23301</v>
      </c>
      <c r="I358" s="2">
        <v>209709</v>
      </c>
      <c r="J358" s="6">
        <v>5.0000000000000058E-2</v>
      </c>
      <c r="K358" s="8">
        <v>199223.55</v>
      </c>
      <c r="L358" s="2" t="s">
        <v>19</v>
      </c>
      <c r="M358" s="2" t="s">
        <v>26</v>
      </c>
      <c r="N358" s="4">
        <v>45212</v>
      </c>
      <c r="O358" s="3" t="str">
        <f t="shared" si="11"/>
        <v>Oct</v>
      </c>
      <c r="P358" s="13" t="s">
        <v>77</v>
      </c>
    </row>
    <row r="359" spans="1:16" x14ac:dyDescent="0.25">
      <c r="A359" s="10" t="s">
        <v>434</v>
      </c>
      <c r="B359" s="1" t="s">
        <v>114</v>
      </c>
      <c r="C359" s="1" t="s">
        <v>70</v>
      </c>
      <c r="D359" s="1" t="s">
        <v>212</v>
      </c>
      <c r="E359" s="1" t="s">
        <v>24</v>
      </c>
      <c r="F359" s="1" t="s">
        <v>71</v>
      </c>
      <c r="G359" s="1">
        <v>18</v>
      </c>
      <c r="H359" s="1">
        <f t="shared" si="10"/>
        <v>68238</v>
      </c>
      <c r="I359" s="1">
        <v>1228284</v>
      </c>
      <c r="J359" s="6">
        <v>4.9999999999999961E-2</v>
      </c>
      <c r="K359" s="7">
        <v>1166869.8</v>
      </c>
      <c r="L359" s="1" t="s">
        <v>37</v>
      </c>
      <c r="M359" s="1" t="s">
        <v>20</v>
      </c>
      <c r="N359" s="3">
        <v>45065</v>
      </c>
      <c r="O359" s="3" t="str">
        <f t="shared" si="11"/>
        <v>May</v>
      </c>
      <c r="P359" s="12" t="s">
        <v>77</v>
      </c>
    </row>
    <row r="360" spans="1:16" x14ac:dyDescent="0.25">
      <c r="A360" s="11" t="s">
        <v>435</v>
      </c>
      <c r="B360" s="1" t="s">
        <v>95</v>
      </c>
      <c r="C360" s="2" t="s">
        <v>51</v>
      </c>
      <c r="D360" s="1" t="s">
        <v>16</v>
      </c>
      <c r="E360" s="1" t="s">
        <v>24</v>
      </c>
      <c r="F360" s="2" t="s">
        <v>25</v>
      </c>
      <c r="G360" s="1">
        <v>13</v>
      </c>
      <c r="H360" s="1">
        <f t="shared" si="10"/>
        <v>75282</v>
      </c>
      <c r="I360" s="2">
        <v>978666</v>
      </c>
      <c r="J360" s="6">
        <v>9.9999999999999978E-2</v>
      </c>
      <c r="K360" s="8">
        <v>880799.4</v>
      </c>
      <c r="L360" s="2" t="s">
        <v>19</v>
      </c>
      <c r="M360" s="2" t="s">
        <v>38</v>
      </c>
      <c r="N360" s="4">
        <v>45179</v>
      </c>
      <c r="O360" s="3" t="str">
        <f t="shared" si="11"/>
        <v>Sep</v>
      </c>
      <c r="P360" s="13" t="s">
        <v>39</v>
      </c>
    </row>
    <row r="361" spans="1:16" x14ac:dyDescent="0.25">
      <c r="A361" s="10" t="s">
        <v>436</v>
      </c>
      <c r="B361" s="1" t="s">
        <v>34</v>
      </c>
      <c r="C361" s="1" t="s">
        <v>28</v>
      </c>
      <c r="D361" s="1" t="s">
        <v>29</v>
      </c>
      <c r="E361" s="1" t="s">
        <v>24</v>
      </c>
      <c r="F361" s="1" t="s">
        <v>25</v>
      </c>
      <c r="G361" s="1">
        <v>10</v>
      </c>
      <c r="H361" s="1">
        <f t="shared" si="10"/>
        <v>63841</v>
      </c>
      <c r="I361" s="1">
        <v>638410</v>
      </c>
      <c r="J361" s="6">
        <v>0.05</v>
      </c>
      <c r="K361" s="7">
        <v>606489.5</v>
      </c>
      <c r="L361" s="1" t="s">
        <v>19</v>
      </c>
      <c r="M361" s="1" t="s">
        <v>26</v>
      </c>
      <c r="N361" s="3">
        <v>45264</v>
      </c>
      <c r="O361" s="3" t="str">
        <f t="shared" si="11"/>
        <v>Dec</v>
      </c>
      <c r="P361" s="12" t="s">
        <v>74</v>
      </c>
    </row>
    <row r="362" spans="1:16" x14ac:dyDescent="0.25">
      <c r="A362" s="11" t="s">
        <v>437</v>
      </c>
      <c r="B362" s="1" t="s">
        <v>41</v>
      </c>
      <c r="C362" s="2" t="s">
        <v>42</v>
      </c>
      <c r="D362" s="1" t="s">
        <v>29</v>
      </c>
      <c r="E362" s="1" t="s">
        <v>24</v>
      </c>
      <c r="F362" s="2" t="s">
        <v>25</v>
      </c>
      <c r="G362" s="1">
        <v>6</v>
      </c>
      <c r="H362" s="1">
        <f t="shared" si="10"/>
        <v>69178</v>
      </c>
      <c r="I362" s="2">
        <v>415068</v>
      </c>
      <c r="J362" s="6">
        <v>9.9999999999999978E-2</v>
      </c>
      <c r="K362" s="8">
        <v>373561.2</v>
      </c>
      <c r="L362" s="2" t="s">
        <v>19</v>
      </c>
      <c r="M362" s="2" t="s">
        <v>26</v>
      </c>
      <c r="N362" s="4">
        <v>44967</v>
      </c>
      <c r="O362" s="3" t="str">
        <f t="shared" si="11"/>
        <v>Feb</v>
      </c>
      <c r="P362" s="13" t="s">
        <v>77</v>
      </c>
    </row>
    <row r="363" spans="1:16" x14ac:dyDescent="0.25">
      <c r="A363" s="10" t="s">
        <v>438</v>
      </c>
      <c r="B363" s="1" t="s">
        <v>80</v>
      </c>
      <c r="C363" s="1" t="s">
        <v>47</v>
      </c>
      <c r="D363" s="1" t="s">
        <v>16</v>
      </c>
      <c r="E363" s="1" t="s">
        <v>30</v>
      </c>
      <c r="F363" s="1" t="s">
        <v>59</v>
      </c>
      <c r="G363" s="1">
        <v>18</v>
      </c>
      <c r="H363" s="1">
        <f t="shared" si="10"/>
        <v>12328</v>
      </c>
      <c r="I363" s="1">
        <v>221904</v>
      </c>
      <c r="J363" s="6">
        <v>5.0000000000000051E-2</v>
      </c>
      <c r="K363" s="7">
        <v>210808.8</v>
      </c>
      <c r="L363" s="1" t="s">
        <v>19</v>
      </c>
      <c r="M363" s="1" t="s">
        <v>38</v>
      </c>
      <c r="N363" s="3">
        <v>45141</v>
      </c>
      <c r="O363" s="3" t="str">
        <f t="shared" si="11"/>
        <v>Aug</v>
      </c>
      <c r="P363" s="12" t="s">
        <v>74</v>
      </c>
    </row>
    <row r="364" spans="1:16" x14ac:dyDescent="0.25">
      <c r="A364" s="11" t="s">
        <v>439</v>
      </c>
      <c r="B364" s="1" t="s">
        <v>702</v>
      </c>
      <c r="C364" s="2" t="s">
        <v>28</v>
      </c>
      <c r="D364" s="1" t="s">
        <v>29</v>
      </c>
      <c r="E364" s="1" t="s">
        <v>24</v>
      </c>
      <c r="F364" s="2" t="s">
        <v>48</v>
      </c>
      <c r="G364" s="1">
        <v>9</v>
      </c>
      <c r="H364" s="1">
        <f t="shared" si="10"/>
        <v>69330</v>
      </c>
      <c r="I364" s="2">
        <v>623970</v>
      </c>
      <c r="J364" s="6">
        <v>0.05</v>
      </c>
      <c r="K364" s="8">
        <v>592771.5</v>
      </c>
      <c r="L364" s="2" t="s">
        <v>37</v>
      </c>
      <c r="M364" s="2" t="s">
        <v>38</v>
      </c>
      <c r="N364" s="4">
        <v>45056</v>
      </c>
      <c r="O364" s="3" t="str">
        <f t="shared" si="11"/>
        <v>May</v>
      </c>
      <c r="P364" s="13" t="s">
        <v>39</v>
      </c>
    </row>
    <row r="365" spans="1:16" x14ac:dyDescent="0.25">
      <c r="A365" s="10" t="s">
        <v>440</v>
      </c>
      <c r="B365" s="1" t="s">
        <v>103</v>
      </c>
      <c r="C365" s="1" t="s">
        <v>58</v>
      </c>
      <c r="D365" s="1" t="s">
        <v>29</v>
      </c>
      <c r="E365" s="1" t="s">
        <v>24</v>
      </c>
      <c r="F365" s="1" t="s">
        <v>48</v>
      </c>
      <c r="G365" s="1">
        <v>12</v>
      </c>
      <c r="H365" s="1">
        <f t="shared" si="10"/>
        <v>205743</v>
      </c>
      <c r="I365" s="1">
        <v>2468916</v>
      </c>
      <c r="J365" s="6">
        <v>0</v>
      </c>
      <c r="K365" s="7">
        <v>2468916</v>
      </c>
      <c r="L365" s="1" t="s">
        <v>60</v>
      </c>
      <c r="M365" s="1" t="s">
        <v>26</v>
      </c>
      <c r="N365" s="3">
        <v>45171</v>
      </c>
      <c r="O365" s="3" t="str">
        <f t="shared" si="11"/>
        <v>Sep</v>
      </c>
      <c r="P365" s="12" t="s">
        <v>74</v>
      </c>
    </row>
    <row r="366" spans="1:16" x14ac:dyDescent="0.25">
      <c r="A366" s="11" t="s">
        <v>441</v>
      </c>
      <c r="B366" s="1" t="s">
        <v>67</v>
      </c>
      <c r="C366" s="2" t="s">
        <v>54</v>
      </c>
      <c r="D366" s="1" t="s">
        <v>29</v>
      </c>
      <c r="E366" s="1" t="s">
        <v>30</v>
      </c>
      <c r="F366" s="2" t="s">
        <v>71</v>
      </c>
      <c r="G366" s="1">
        <v>18</v>
      </c>
      <c r="H366" s="1">
        <f t="shared" si="10"/>
        <v>403491</v>
      </c>
      <c r="I366" s="2">
        <v>7262838</v>
      </c>
      <c r="J366" s="6">
        <v>0.15000000000000002</v>
      </c>
      <c r="K366" s="8">
        <v>6173412.2999999998</v>
      </c>
      <c r="L366" s="2" t="s">
        <v>19</v>
      </c>
      <c r="M366" s="2" t="s">
        <v>20</v>
      </c>
      <c r="N366" s="4">
        <v>45043</v>
      </c>
      <c r="O366" s="3" t="str">
        <f t="shared" si="11"/>
        <v>Apr</v>
      </c>
      <c r="P366" s="13" t="s">
        <v>55</v>
      </c>
    </row>
    <row r="367" spans="1:16" x14ac:dyDescent="0.25">
      <c r="A367" s="10" t="s">
        <v>442</v>
      </c>
      <c r="B367" s="1" t="s">
        <v>76</v>
      </c>
      <c r="C367" s="1" t="s">
        <v>58</v>
      </c>
      <c r="D367" s="1" t="s">
        <v>29</v>
      </c>
      <c r="E367" s="1" t="s">
        <v>30</v>
      </c>
      <c r="F367" s="1" t="s">
        <v>59</v>
      </c>
      <c r="G367" s="1">
        <v>13</v>
      </c>
      <c r="H367" s="1">
        <f t="shared" si="10"/>
        <v>463205</v>
      </c>
      <c r="I367" s="1">
        <v>6021665</v>
      </c>
      <c r="J367" s="6">
        <v>0.2</v>
      </c>
      <c r="K367" s="7">
        <v>4817332</v>
      </c>
      <c r="L367" s="1" t="s">
        <v>37</v>
      </c>
      <c r="M367" s="1" t="s">
        <v>64</v>
      </c>
      <c r="N367" s="3">
        <v>45028</v>
      </c>
      <c r="O367" s="3" t="str">
        <f t="shared" si="11"/>
        <v>Apr</v>
      </c>
      <c r="P367" s="12" t="s">
        <v>32</v>
      </c>
    </row>
    <row r="368" spans="1:16" x14ac:dyDescent="0.25">
      <c r="A368" s="11" t="s">
        <v>443</v>
      </c>
      <c r="B368" s="1" t="s">
        <v>85</v>
      </c>
      <c r="C368" s="2" t="s">
        <v>28</v>
      </c>
      <c r="D368" s="1" t="s">
        <v>29</v>
      </c>
      <c r="E368" s="1" t="s">
        <v>17</v>
      </c>
      <c r="F368" s="2" t="s">
        <v>18</v>
      </c>
      <c r="G368" s="1">
        <v>8</v>
      </c>
      <c r="H368" s="1">
        <f t="shared" si="10"/>
        <v>23837</v>
      </c>
      <c r="I368" s="2">
        <v>190696</v>
      </c>
      <c r="J368" s="6">
        <v>0.20000000000000007</v>
      </c>
      <c r="K368" s="8">
        <v>152556.79999999999</v>
      </c>
      <c r="L368" s="2" t="s">
        <v>37</v>
      </c>
      <c r="M368" s="2" t="s">
        <v>38</v>
      </c>
      <c r="N368" s="4">
        <v>45282</v>
      </c>
      <c r="O368" s="3" t="str">
        <f t="shared" si="11"/>
        <v>Dec</v>
      </c>
      <c r="P368" s="13" t="s">
        <v>77</v>
      </c>
    </row>
    <row r="369" spans="1:16" x14ac:dyDescent="0.25">
      <c r="A369" s="10" t="s">
        <v>444</v>
      </c>
      <c r="B369" s="1" t="s">
        <v>34</v>
      </c>
      <c r="C369" s="1" t="s">
        <v>54</v>
      </c>
      <c r="D369" s="1" t="s">
        <v>212</v>
      </c>
      <c r="E369" s="1" t="s">
        <v>17</v>
      </c>
      <c r="F369" s="1" t="s">
        <v>82</v>
      </c>
      <c r="G369" s="1">
        <v>14</v>
      </c>
      <c r="H369" s="1">
        <f t="shared" si="10"/>
        <v>238107</v>
      </c>
      <c r="I369" s="1">
        <v>3333498</v>
      </c>
      <c r="J369" s="6">
        <v>9.999999999999995E-2</v>
      </c>
      <c r="K369" s="7">
        <v>3000148.2</v>
      </c>
      <c r="L369" s="1" t="s">
        <v>37</v>
      </c>
      <c r="M369" s="1" t="s">
        <v>38</v>
      </c>
      <c r="N369" s="3">
        <v>44967</v>
      </c>
      <c r="O369" s="3" t="str">
        <f t="shared" si="11"/>
        <v>Feb</v>
      </c>
      <c r="P369" s="12" t="s">
        <v>21</v>
      </c>
    </row>
    <row r="370" spans="1:16" x14ac:dyDescent="0.25">
      <c r="A370" s="11" t="s">
        <v>445</v>
      </c>
      <c r="B370" s="1" t="s">
        <v>34</v>
      </c>
      <c r="C370" s="2" t="s">
        <v>51</v>
      </c>
      <c r="D370" s="1" t="s">
        <v>16</v>
      </c>
      <c r="E370" s="1" t="s">
        <v>30</v>
      </c>
      <c r="F370" s="2" t="s">
        <v>125</v>
      </c>
      <c r="G370" s="1">
        <v>13</v>
      </c>
      <c r="H370" s="1">
        <f t="shared" si="10"/>
        <v>13869</v>
      </c>
      <c r="I370" s="2">
        <v>180297</v>
      </c>
      <c r="J370" s="6">
        <v>0.14999999999999994</v>
      </c>
      <c r="K370" s="8">
        <v>153252.45000000001</v>
      </c>
      <c r="L370" s="2" t="s">
        <v>19</v>
      </c>
      <c r="M370" s="2" t="s">
        <v>26</v>
      </c>
      <c r="N370" s="4">
        <v>45019</v>
      </c>
      <c r="O370" s="3" t="str">
        <f t="shared" si="11"/>
        <v>Apr</v>
      </c>
      <c r="P370" s="13" t="s">
        <v>65</v>
      </c>
    </row>
    <row r="371" spans="1:16" x14ac:dyDescent="0.25">
      <c r="A371" s="10" t="s">
        <v>446</v>
      </c>
      <c r="B371" s="1" t="s">
        <v>85</v>
      </c>
      <c r="C371" s="1" t="s">
        <v>28</v>
      </c>
      <c r="D371" s="1" t="s">
        <v>29</v>
      </c>
      <c r="E371" s="1" t="s">
        <v>35</v>
      </c>
      <c r="F371" s="1" t="s">
        <v>68</v>
      </c>
      <c r="G371" s="1">
        <v>3</v>
      </c>
      <c r="H371" s="1">
        <f t="shared" si="10"/>
        <v>57802</v>
      </c>
      <c r="I371" s="1">
        <v>173406</v>
      </c>
      <c r="J371" s="6">
        <v>0.20000000000000007</v>
      </c>
      <c r="K371" s="7">
        <v>138724.79999999999</v>
      </c>
      <c r="L371" s="1" t="s">
        <v>19</v>
      </c>
      <c r="M371" s="1" t="s">
        <v>26</v>
      </c>
      <c r="N371" s="3">
        <v>45238</v>
      </c>
      <c r="O371" s="3" t="str">
        <f t="shared" si="11"/>
        <v>Nov</v>
      </c>
      <c r="P371" s="12" t="s">
        <v>74</v>
      </c>
    </row>
    <row r="372" spans="1:16" x14ac:dyDescent="0.25">
      <c r="A372" s="11" t="s">
        <v>447</v>
      </c>
      <c r="B372" s="1" t="s">
        <v>57</v>
      </c>
      <c r="C372" s="2" t="s">
        <v>51</v>
      </c>
      <c r="D372" s="1" t="s">
        <v>16</v>
      </c>
      <c r="E372" s="1" t="s">
        <v>43</v>
      </c>
      <c r="F372" s="2" t="s">
        <v>98</v>
      </c>
      <c r="G372" s="1">
        <v>19</v>
      </c>
      <c r="H372" s="1">
        <f t="shared" si="10"/>
        <v>8816</v>
      </c>
      <c r="I372" s="2">
        <v>167504</v>
      </c>
      <c r="J372" s="6">
        <v>5.0000000000000072E-2</v>
      </c>
      <c r="K372" s="8">
        <v>159128.79999999999</v>
      </c>
      <c r="L372" s="2" t="s">
        <v>19</v>
      </c>
      <c r="M372" s="2" t="s">
        <v>26</v>
      </c>
      <c r="N372" s="4">
        <v>45164</v>
      </c>
      <c r="O372" s="3" t="str">
        <f t="shared" si="11"/>
        <v>Aug</v>
      </c>
      <c r="P372" s="13" t="s">
        <v>39</v>
      </c>
    </row>
    <row r="373" spans="1:16" x14ac:dyDescent="0.25">
      <c r="A373" s="10" t="s">
        <v>448</v>
      </c>
      <c r="B373" s="1" t="s">
        <v>41</v>
      </c>
      <c r="C373" s="1" t="s">
        <v>81</v>
      </c>
      <c r="D373" s="1" t="s">
        <v>29</v>
      </c>
      <c r="E373" s="1" t="s">
        <v>35</v>
      </c>
      <c r="F373" s="1" t="s">
        <v>36</v>
      </c>
      <c r="G373" s="1">
        <v>3</v>
      </c>
      <c r="H373" s="1">
        <f t="shared" si="10"/>
        <v>30919</v>
      </c>
      <c r="I373" s="1">
        <v>92757</v>
      </c>
      <c r="J373" s="6">
        <v>0.15000000000000002</v>
      </c>
      <c r="K373" s="7">
        <v>78843.45</v>
      </c>
      <c r="L373" s="1" t="s">
        <v>19</v>
      </c>
      <c r="M373" s="1" t="s">
        <v>64</v>
      </c>
      <c r="N373" s="3">
        <v>44941</v>
      </c>
      <c r="O373" s="3" t="str">
        <f t="shared" si="11"/>
        <v>Jan</v>
      </c>
      <c r="P373" s="12" t="s">
        <v>39</v>
      </c>
    </row>
    <row r="374" spans="1:16" x14ac:dyDescent="0.25">
      <c r="A374" s="11" t="s">
        <v>449</v>
      </c>
      <c r="B374" s="1" t="s">
        <v>103</v>
      </c>
      <c r="C374" s="2" t="s">
        <v>58</v>
      </c>
      <c r="D374" s="1" t="s">
        <v>29</v>
      </c>
      <c r="E374" s="1" t="s">
        <v>30</v>
      </c>
      <c r="F374" s="2" t="s">
        <v>125</v>
      </c>
      <c r="G374" s="1">
        <v>6</v>
      </c>
      <c r="H374" s="1">
        <f t="shared" si="10"/>
        <v>393596</v>
      </c>
      <c r="I374" s="2">
        <v>2361576</v>
      </c>
      <c r="J374" s="6">
        <v>0.14999999999999997</v>
      </c>
      <c r="K374" s="8">
        <v>2007339.6</v>
      </c>
      <c r="L374" s="2" t="s">
        <v>49</v>
      </c>
      <c r="M374" s="2" t="s">
        <v>26</v>
      </c>
      <c r="N374" s="4">
        <v>45200</v>
      </c>
      <c r="O374" s="3" t="str">
        <f t="shared" si="11"/>
        <v>Oct</v>
      </c>
      <c r="P374" s="13" t="s">
        <v>122</v>
      </c>
    </row>
    <row r="375" spans="1:16" x14ac:dyDescent="0.25">
      <c r="A375" s="10" t="s">
        <v>450</v>
      </c>
      <c r="B375" s="1" t="s">
        <v>85</v>
      </c>
      <c r="C375" s="1" t="s">
        <v>54</v>
      </c>
      <c r="D375" s="1" t="s">
        <v>29</v>
      </c>
      <c r="E375" s="1" t="s">
        <v>17</v>
      </c>
      <c r="F375" s="1" t="s">
        <v>82</v>
      </c>
      <c r="G375" s="1">
        <v>9</v>
      </c>
      <c r="H375" s="1">
        <f t="shared" si="10"/>
        <v>198937</v>
      </c>
      <c r="I375" s="1">
        <v>1790433</v>
      </c>
      <c r="J375" s="6">
        <v>0.10000000000000002</v>
      </c>
      <c r="K375" s="7">
        <v>1611389.7</v>
      </c>
      <c r="L375" s="1" t="s">
        <v>702</v>
      </c>
      <c r="M375" s="1" t="s">
        <v>38</v>
      </c>
      <c r="N375" s="3">
        <v>44939</v>
      </c>
      <c r="O375" s="3" t="str">
        <f t="shared" si="11"/>
        <v>Jan</v>
      </c>
      <c r="P375" s="12" t="s">
        <v>65</v>
      </c>
    </row>
    <row r="376" spans="1:16" x14ac:dyDescent="0.25">
      <c r="A376" s="11" t="s">
        <v>451</v>
      </c>
      <c r="B376" s="1" t="s">
        <v>34</v>
      </c>
      <c r="C376" s="2" t="s">
        <v>15</v>
      </c>
      <c r="D376" s="1" t="s">
        <v>16</v>
      </c>
      <c r="E376" s="1" t="s">
        <v>30</v>
      </c>
      <c r="F376" s="2" t="s">
        <v>142</v>
      </c>
      <c r="G376" s="1">
        <v>4</v>
      </c>
      <c r="H376" s="1">
        <f t="shared" si="10"/>
        <v>65674</v>
      </c>
      <c r="I376" s="2">
        <v>262696</v>
      </c>
      <c r="J376" s="6">
        <v>0.10000000000000002</v>
      </c>
      <c r="K376" s="8">
        <v>236426.4</v>
      </c>
      <c r="L376" s="2" t="s">
        <v>37</v>
      </c>
      <c r="M376" s="2" t="s">
        <v>38</v>
      </c>
      <c r="N376" s="4">
        <v>45059</v>
      </c>
      <c r="O376" s="3" t="str">
        <f t="shared" si="11"/>
        <v>May</v>
      </c>
      <c r="P376" s="13" t="s">
        <v>55</v>
      </c>
    </row>
    <row r="377" spans="1:16" x14ac:dyDescent="0.25">
      <c r="A377" s="10" t="s">
        <v>452</v>
      </c>
      <c r="B377" s="1" t="s">
        <v>90</v>
      </c>
      <c r="C377" s="1" t="s">
        <v>28</v>
      </c>
      <c r="D377" s="1" t="s">
        <v>29</v>
      </c>
      <c r="E377" s="1" t="s">
        <v>43</v>
      </c>
      <c r="F377" s="1" t="s">
        <v>142</v>
      </c>
      <c r="G377" s="1">
        <v>6</v>
      </c>
      <c r="H377" s="1">
        <f t="shared" si="10"/>
        <v>19818</v>
      </c>
      <c r="I377" s="1">
        <v>118908</v>
      </c>
      <c r="J377" s="6">
        <v>4.9999999999999954E-2</v>
      </c>
      <c r="K377" s="7">
        <v>112962.6</v>
      </c>
      <c r="L377" s="1" t="s">
        <v>49</v>
      </c>
      <c r="M377" s="1" t="s">
        <v>26</v>
      </c>
      <c r="N377" s="3">
        <v>45215</v>
      </c>
      <c r="O377" s="3" t="str">
        <f t="shared" si="11"/>
        <v>Oct</v>
      </c>
      <c r="P377" s="12" t="s">
        <v>74</v>
      </c>
    </row>
    <row r="378" spans="1:16" x14ac:dyDescent="0.25">
      <c r="A378" s="11" t="s">
        <v>453</v>
      </c>
      <c r="B378" s="1" t="s">
        <v>92</v>
      </c>
      <c r="C378" s="2" t="s">
        <v>28</v>
      </c>
      <c r="D378" s="1" t="s">
        <v>29</v>
      </c>
      <c r="E378" s="1" t="s">
        <v>43</v>
      </c>
      <c r="F378" s="2" t="s">
        <v>98</v>
      </c>
      <c r="G378" s="1">
        <v>17</v>
      </c>
      <c r="H378" s="1">
        <f t="shared" si="10"/>
        <v>66503</v>
      </c>
      <c r="I378" s="2">
        <v>1130551</v>
      </c>
      <c r="J378" s="6">
        <v>0.19999999999999996</v>
      </c>
      <c r="K378" s="8">
        <v>904440.8</v>
      </c>
      <c r="L378" s="2" t="s">
        <v>19</v>
      </c>
      <c r="M378" s="2" t="s">
        <v>20</v>
      </c>
      <c r="N378" s="4">
        <v>45082</v>
      </c>
      <c r="O378" s="3" t="str">
        <f t="shared" si="11"/>
        <v>Jun</v>
      </c>
      <c r="P378" s="13" t="s">
        <v>39</v>
      </c>
    </row>
    <row r="379" spans="1:16" x14ac:dyDescent="0.25">
      <c r="A379" s="10" t="s">
        <v>454</v>
      </c>
      <c r="B379" s="1" t="s">
        <v>57</v>
      </c>
      <c r="C379" s="1" t="s">
        <v>63</v>
      </c>
      <c r="D379" s="1" t="s">
        <v>29</v>
      </c>
      <c r="E379" s="1" t="s">
        <v>43</v>
      </c>
      <c r="F379" s="1" t="s">
        <v>98</v>
      </c>
      <c r="G379" s="1">
        <v>1</v>
      </c>
      <c r="H379" s="1">
        <f t="shared" si="10"/>
        <v>422587</v>
      </c>
      <c r="I379" s="1">
        <v>422587</v>
      </c>
      <c r="J379" s="6">
        <v>0.20000000000000007</v>
      </c>
      <c r="K379" s="7">
        <v>338069.6</v>
      </c>
      <c r="L379" s="1" t="s">
        <v>37</v>
      </c>
      <c r="M379" s="1" t="s">
        <v>64</v>
      </c>
      <c r="N379" s="3">
        <v>45241</v>
      </c>
      <c r="O379" s="3" t="str">
        <f t="shared" si="11"/>
        <v>Nov</v>
      </c>
      <c r="P379" s="12" t="s">
        <v>74</v>
      </c>
    </row>
    <row r="380" spans="1:16" x14ac:dyDescent="0.25">
      <c r="A380" s="11" t="s">
        <v>455</v>
      </c>
      <c r="B380" s="1" t="s">
        <v>103</v>
      </c>
      <c r="C380" s="2" t="s">
        <v>15</v>
      </c>
      <c r="D380" s="1" t="s">
        <v>16</v>
      </c>
      <c r="E380" s="1" t="s">
        <v>17</v>
      </c>
      <c r="F380" s="2" t="s">
        <v>18</v>
      </c>
      <c r="G380" s="1">
        <v>3</v>
      </c>
      <c r="H380" s="1">
        <f t="shared" si="10"/>
        <v>47558</v>
      </c>
      <c r="I380" s="2">
        <v>142674</v>
      </c>
      <c r="J380" s="6">
        <v>0.15000000000000005</v>
      </c>
      <c r="K380" s="8">
        <v>121272.9</v>
      </c>
      <c r="L380" s="2" t="s">
        <v>49</v>
      </c>
      <c r="M380" s="2" t="s">
        <v>20</v>
      </c>
      <c r="N380" s="4">
        <v>44950</v>
      </c>
      <c r="O380" s="3" t="str">
        <f t="shared" si="11"/>
        <v>Jan</v>
      </c>
      <c r="P380" s="13" t="s">
        <v>74</v>
      </c>
    </row>
    <row r="381" spans="1:16" x14ac:dyDescent="0.25">
      <c r="A381" s="10" t="s">
        <v>456</v>
      </c>
      <c r="B381" s="1" t="s">
        <v>101</v>
      </c>
      <c r="C381" s="1" t="s">
        <v>81</v>
      </c>
      <c r="D381" s="1" t="s">
        <v>29</v>
      </c>
      <c r="E381" s="1" t="s">
        <v>24</v>
      </c>
      <c r="F381" s="1" t="s">
        <v>71</v>
      </c>
      <c r="G381" s="1">
        <v>12</v>
      </c>
      <c r="H381" s="1">
        <f t="shared" si="10"/>
        <v>14506</v>
      </c>
      <c r="I381" s="1">
        <v>174072</v>
      </c>
      <c r="J381" s="6">
        <v>0.10000000000000006</v>
      </c>
      <c r="K381" s="7">
        <v>156664.79999999999</v>
      </c>
      <c r="L381" s="1" t="s">
        <v>49</v>
      </c>
      <c r="M381" s="1" t="s">
        <v>20</v>
      </c>
      <c r="N381" s="3">
        <v>45235</v>
      </c>
      <c r="O381" s="3" t="str">
        <f t="shared" si="11"/>
        <v>Nov</v>
      </c>
      <c r="P381" s="12" t="s">
        <v>21</v>
      </c>
    </row>
    <row r="382" spans="1:16" x14ac:dyDescent="0.25">
      <c r="A382" s="11" t="s">
        <v>457</v>
      </c>
      <c r="B382" s="1" t="s">
        <v>107</v>
      </c>
      <c r="C382" s="2" t="s">
        <v>58</v>
      </c>
      <c r="D382" s="1" t="s">
        <v>29</v>
      </c>
      <c r="E382" s="1" t="s">
        <v>30</v>
      </c>
      <c r="F382" s="2" t="s">
        <v>18</v>
      </c>
      <c r="G382" s="1">
        <v>8</v>
      </c>
      <c r="H382" s="1">
        <f t="shared" si="10"/>
        <v>462378</v>
      </c>
      <c r="I382" s="2">
        <v>3699024</v>
      </c>
      <c r="J382" s="6">
        <v>0</v>
      </c>
      <c r="K382" s="8">
        <v>3699024</v>
      </c>
      <c r="L382" s="2" t="s">
        <v>19</v>
      </c>
      <c r="M382" s="2" t="s">
        <v>64</v>
      </c>
      <c r="N382" s="4">
        <v>45026</v>
      </c>
      <c r="O382" s="3" t="str">
        <f t="shared" si="11"/>
        <v>Apr</v>
      </c>
      <c r="P382" s="13" t="s">
        <v>39</v>
      </c>
    </row>
    <row r="383" spans="1:16" x14ac:dyDescent="0.25">
      <c r="A383" s="10" t="s">
        <v>458</v>
      </c>
      <c r="B383" s="1" t="s">
        <v>101</v>
      </c>
      <c r="C383" s="1" t="s">
        <v>63</v>
      </c>
      <c r="D383" s="1" t="s">
        <v>29</v>
      </c>
      <c r="E383" s="1" t="s">
        <v>35</v>
      </c>
      <c r="F383" s="1" t="s">
        <v>36</v>
      </c>
      <c r="G383" s="1">
        <v>4</v>
      </c>
      <c r="H383" s="1">
        <f t="shared" si="10"/>
        <v>368510</v>
      </c>
      <c r="I383" s="1">
        <v>1474040</v>
      </c>
      <c r="J383" s="6">
        <v>0.15</v>
      </c>
      <c r="K383" s="7">
        <v>1252934</v>
      </c>
      <c r="L383" s="1" t="s">
        <v>19</v>
      </c>
      <c r="M383" s="1" t="s">
        <v>26</v>
      </c>
      <c r="N383" s="3">
        <v>45058</v>
      </c>
      <c r="O383" s="3" t="str">
        <f t="shared" si="11"/>
        <v>May</v>
      </c>
      <c r="P383" s="12" t="s">
        <v>122</v>
      </c>
    </row>
    <row r="384" spans="1:16" x14ac:dyDescent="0.25">
      <c r="A384" s="11" t="s">
        <v>459</v>
      </c>
      <c r="B384" s="1" t="s">
        <v>62</v>
      </c>
      <c r="C384" s="2" t="s">
        <v>42</v>
      </c>
      <c r="D384" s="1" t="s">
        <v>29</v>
      </c>
      <c r="E384" s="1" t="s">
        <v>35</v>
      </c>
      <c r="F384" s="2" t="s">
        <v>108</v>
      </c>
      <c r="G384" s="1">
        <v>2</v>
      </c>
      <c r="H384" s="1">
        <f t="shared" si="10"/>
        <v>5659</v>
      </c>
      <c r="I384" s="2">
        <v>11318</v>
      </c>
      <c r="J384" s="6">
        <v>0.20000000000000004</v>
      </c>
      <c r="K384" s="8">
        <v>9054.4</v>
      </c>
      <c r="L384" s="2" t="s">
        <v>49</v>
      </c>
      <c r="M384" s="2" t="s">
        <v>20</v>
      </c>
      <c r="N384" s="4">
        <v>45040</v>
      </c>
      <c r="O384" s="3" t="str">
        <f t="shared" si="11"/>
        <v>Apr</v>
      </c>
      <c r="P384" s="13" t="s">
        <v>77</v>
      </c>
    </row>
    <row r="385" spans="1:16" x14ac:dyDescent="0.25">
      <c r="A385" s="10" t="s">
        <v>460</v>
      </c>
      <c r="B385" s="1" t="s">
        <v>157</v>
      </c>
      <c r="C385" s="1" t="s">
        <v>81</v>
      </c>
      <c r="D385" s="1" t="s">
        <v>29</v>
      </c>
      <c r="E385" s="1" t="s">
        <v>35</v>
      </c>
      <c r="F385" s="1" t="s">
        <v>36</v>
      </c>
      <c r="G385" s="1">
        <v>8</v>
      </c>
      <c r="H385" s="1">
        <f t="shared" si="10"/>
        <v>60027</v>
      </c>
      <c r="I385" s="1">
        <v>480216</v>
      </c>
      <c r="J385" s="6">
        <v>0.2</v>
      </c>
      <c r="K385" s="7">
        <v>384172.79999999999</v>
      </c>
      <c r="L385" s="1" t="s">
        <v>49</v>
      </c>
      <c r="M385" s="1" t="s">
        <v>26</v>
      </c>
      <c r="N385" s="3">
        <v>45217</v>
      </c>
      <c r="O385" s="3" t="str">
        <f t="shared" si="11"/>
        <v>Oct</v>
      </c>
      <c r="P385" s="12" t="s">
        <v>39</v>
      </c>
    </row>
    <row r="386" spans="1:16" x14ac:dyDescent="0.25">
      <c r="A386" s="11" t="s">
        <v>461</v>
      </c>
      <c r="B386" s="1" t="s">
        <v>23</v>
      </c>
      <c r="C386" s="2" t="s">
        <v>81</v>
      </c>
      <c r="D386" s="1" t="s">
        <v>29</v>
      </c>
      <c r="E386" s="1" t="s">
        <v>24</v>
      </c>
      <c r="F386" s="2" t="s">
        <v>25</v>
      </c>
      <c r="G386" s="1">
        <v>13</v>
      </c>
      <c r="H386" s="1">
        <f t="shared" ref="H386:H449" si="12">I386/G386</f>
        <v>25677</v>
      </c>
      <c r="I386" s="2">
        <v>333801</v>
      </c>
      <c r="J386" s="6">
        <v>0</v>
      </c>
      <c r="K386" s="8">
        <v>333801</v>
      </c>
      <c r="L386" s="2" t="s">
        <v>49</v>
      </c>
      <c r="M386" s="2" t="s">
        <v>64</v>
      </c>
      <c r="N386" s="4">
        <v>44988</v>
      </c>
      <c r="O386" s="3" t="str">
        <f t="shared" si="11"/>
        <v>Mar</v>
      </c>
      <c r="P386" s="13" t="s">
        <v>74</v>
      </c>
    </row>
    <row r="387" spans="1:16" x14ac:dyDescent="0.25">
      <c r="A387" s="10" t="s">
        <v>462</v>
      </c>
      <c r="B387" s="1" t="s">
        <v>107</v>
      </c>
      <c r="C387" s="1" t="s">
        <v>63</v>
      </c>
      <c r="D387" s="1" t="s">
        <v>29</v>
      </c>
      <c r="E387" s="1" t="s">
        <v>43</v>
      </c>
      <c r="F387" s="1" t="s">
        <v>125</v>
      </c>
      <c r="G387" s="1">
        <v>16</v>
      </c>
      <c r="H387" s="1">
        <f t="shared" si="12"/>
        <v>193259</v>
      </c>
      <c r="I387" s="1">
        <v>3092144</v>
      </c>
      <c r="J387" s="6">
        <v>5.0000000000000058E-2</v>
      </c>
      <c r="K387" s="7">
        <v>2937536.8</v>
      </c>
      <c r="L387" s="1" t="s">
        <v>19</v>
      </c>
      <c r="M387" s="1" t="s">
        <v>20</v>
      </c>
      <c r="N387" s="3">
        <v>45005</v>
      </c>
      <c r="O387" s="3" t="str">
        <f t="shared" ref="O387:O450" si="13">TEXT(N387,"mmm")</f>
        <v>Mar</v>
      </c>
      <c r="P387" s="12" t="s">
        <v>65</v>
      </c>
    </row>
    <row r="388" spans="1:16" x14ac:dyDescent="0.25">
      <c r="A388" s="11" t="s">
        <v>463</v>
      </c>
      <c r="B388" s="1" t="s">
        <v>67</v>
      </c>
      <c r="C388" s="2" t="s">
        <v>58</v>
      </c>
      <c r="D388" s="1" t="s">
        <v>16</v>
      </c>
      <c r="E388" s="1" t="s">
        <v>24</v>
      </c>
      <c r="F388" s="2" t="s">
        <v>25</v>
      </c>
      <c r="G388" s="1">
        <v>8</v>
      </c>
      <c r="H388" s="1">
        <f t="shared" si="12"/>
        <v>225275</v>
      </c>
      <c r="I388" s="2">
        <v>1802200</v>
      </c>
      <c r="J388" s="6">
        <v>0.1</v>
      </c>
      <c r="K388" s="8">
        <v>1621980</v>
      </c>
      <c r="L388" s="2" t="s">
        <v>19</v>
      </c>
      <c r="M388" s="2" t="s">
        <v>38</v>
      </c>
      <c r="N388" s="4">
        <v>45213</v>
      </c>
      <c r="O388" s="3" t="str">
        <f t="shared" si="13"/>
        <v>Oct</v>
      </c>
      <c r="P388" s="13" t="s">
        <v>21</v>
      </c>
    </row>
    <row r="389" spans="1:16" x14ac:dyDescent="0.25">
      <c r="A389" s="11" t="s">
        <v>464</v>
      </c>
      <c r="B389" s="1" t="s">
        <v>76</v>
      </c>
      <c r="C389" s="2" t="s">
        <v>54</v>
      </c>
      <c r="D389" s="1" t="s">
        <v>29</v>
      </c>
      <c r="E389" s="1" t="s">
        <v>17</v>
      </c>
      <c r="F389" s="2" t="s">
        <v>18</v>
      </c>
      <c r="G389" s="1">
        <v>3</v>
      </c>
      <c r="H389" s="1">
        <f t="shared" si="12"/>
        <v>173969</v>
      </c>
      <c r="I389" s="2">
        <v>521907</v>
      </c>
      <c r="J389" s="6">
        <v>0.10000000000000002</v>
      </c>
      <c r="K389" s="8">
        <v>469716.3</v>
      </c>
      <c r="L389" s="2" t="s">
        <v>19</v>
      </c>
      <c r="M389" s="2" t="s">
        <v>26</v>
      </c>
      <c r="N389" s="4">
        <v>45057</v>
      </c>
      <c r="O389" s="3" t="str">
        <f t="shared" si="13"/>
        <v>May</v>
      </c>
      <c r="P389" s="13" t="s">
        <v>77</v>
      </c>
    </row>
    <row r="390" spans="1:16" x14ac:dyDescent="0.25">
      <c r="A390" s="10" t="s">
        <v>465</v>
      </c>
      <c r="B390" s="1" t="s">
        <v>67</v>
      </c>
      <c r="C390" s="1" t="s">
        <v>15</v>
      </c>
      <c r="D390" s="1" t="s">
        <v>16</v>
      </c>
      <c r="E390" s="1" t="s">
        <v>24</v>
      </c>
      <c r="F390" s="1" t="s">
        <v>25</v>
      </c>
      <c r="G390" s="1">
        <v>17</v>
      </c>
      <c r="H390" s="1">
        <f t="shared" si="12"/>
        <v>59997</v>
      </c>
      <c r="I390" s="1">
        <v>1019949</v>
      </c>
      <c r="J390" s="6">
        <v>0</v>
      </c>
      <c r="K390" s="7">
        <v>1019949</v>
      </c>
      <c r="L390" s="1" t="s">
        <v>60</v>
      </c>
      <c r="M390" s="1" t="s">
        <v>64</v>
      </c>
      <c r="N390" s="3">
        <v>44976</v>
      </c>
      <c r="O390" s="3" t="str">
        <f t="shared" si="13"/>
        <v>Feb</v>
      </c>
      <c r="P390" s="12" t="s">
        <v>55</v>
      </c>
    </row>
    <row r="391" spans="1:16" x14ac:dyDescent="0.25">
      <c r="A391" s="10" t="s">
        <v>466</v>
      </c>
      <c r="B391" s="1" t="s">
        <v>87</v>
      </c>
      <c r="C391" s="1" t="s">
        <v>70</v>
      </c>
      <c r="D391" s="1" t="s">
        <v>16</v>
      </c>
      <c r="E391" s="1" t="s">
        <v>17</v>
      </c>
      <c r="F391" s="1" t="s">
        <v>73</v>
      </c>
      <c r="G391" s="1">
        <v>5</v>
      </c>
      <c r="H391" s="1">
        <f t="shared" si="12"/>
        <v>54834</v>
      </c>
      <c r="I391" s="1">
        <v>274170</v>
      </c>
      <c r="J391" s="6">
        <v>0.2</v>
      </c>
      <c r="K391" s="7">
        <v>219336</v>
      </c>
      <c r="L391" s="1" t="s">
        <v>19</v>
      </c>
      <c r="M391" s="1" t="s">
        <v>64</v>
      </c>
      <c r="N391" s="3">
        <v>45135</v>
      </c>
      <c r="O391" s="3" t="str">
        <f t="shared" si="13"/>
        <v>Jul</v>
      </c>
      <c r="P391" s="12" t="s">
        <v>39</v>
      </c>
    </row>
    <row r="392" spans="1:16" x14ac:dyDescent="0.25">
      <c r="A392" s="11" t="s">
        <v>467</v>
      </c>
      <c r="B392" s="1" t="s">
        <v>57</v>
      </c>
      <c r="C392" s="2" t="s">
        <v>54</v>
      </c>
      <c r="D392" s="1" t="s">
        <v>29</v>
      </c>
      <c r="E392" s="1" t="s">
        <v>17</v>
      </c>
      <c r="F392" s="2" t="s">
        <v>82</v>
      </c>
      <c r="G392" s="1">
        <v>4</v>
      </c>
      <c r="H392" s="1">
        <f t="shared" si="12"/>
        <v>346196</v>
      </c>
      <c r="I392" s="2">
        <v>1384784</v>
      </c>
      <c r="J392" s="6">
        <v>0</v>
      </c>
      <c r="K392" s="8">
        <v>1384784</v>
      </c>
      <c r="L392" s="2" t="s">
        <v>37</v>
      </c>
      <c r="M392" s="2" t="s">
        <v>64</v>
      </c>
      <c r="N392" s="4">
        <v>45155</v>
      </c>
      <c r="O392" s="3" t="str">
        <f t="shared" si="13"/>
        <v>Aug</v>
      </c>
      <c r="P392" s="13" t="s">
        <v>21</v>
      </c>
    </row>
    <row r="393" spans="1:16" x14ac:dyDescent="0.25">
      <c r="A393" s="10" t="s">
        <v>468</v>
      </c>
      <c r="B393" s="1" t="s">
        <v>119</v>
      </c>
      <c r="C393" s="1" t="s">
        <v>47</v>
      </c>
      <c r="D393" s="1" t="s">
        <v>16</v>
      </c>
      <c r="E393" s="1" t="s">
        <v>43</v>
      </c>
      <c r="F393" s="1" t="s">
        <v>73</v>
      </c>
      <c r="G393" s="1">
        <v>20</v>
      </c>
      <c r="H393" s="1">
        <f t="shared" si="12"/>
        <v>37850</v>
      </c>
      <c r="I393" s="1">
        <v>757000</v>
      </c>
      <c r="J393" s="6">
        <v>0.05</v>
      </c>
      <c r="K393" s="7">
        <v>719150</v>
      </c>
      <c r="L393" s="1" t="s">
        <v>49</v>
      </c>
      <c r="M393" s="1" t="s">
        <v>20</v>
      </c>
      <c r="N393" s="3">
        <v>44965</v>
      </c>
      <c r="O393" s="3" t="str">
        <f t="shared" si="13"/>
        <v>Feb</v>
      </c>
      <c r="P393" s="12" t="s">
        <v>74</v>
      </c>
    </row>
    <row r="394" spans="1:16" x14ac:dyDescent="0.25">
      <c r="A394" s="11" t="s">
        <v>469</v>
      </c>
      <c r="B394" s="1" t="s">
        <v>87</v>
      </c>
      <c r="C394" s="2" t="s">
        <v>51</v>
      </c>
      <c r="D394" s="1" t="s">
        <v>16</v>
      </c>
      <c r="E394" s="1" t="s">
        <v>17</v>
      </c>
      <c r="F394" s="2" t="s">
        <v>82</v>
      </c>
      <c r="G394" s="1">
        <v>13</v>
      </c>
      <c r="H394" s="1">
        <f t="shared" si="12"/>
        <v>15696</v>
      </c>
      <c r="I394" s="2">
        <v>204048</v>
      </c>
      <c r="J394" s="6">
        <v>9.9999999999999936E-2</v>
      </c>
      <c r="K394" s="8">
        <v>183643.2</v>
      </c>
      <c r="L394" s="2" t="s">
        <v>19</v>
      </c>
      <c r="M394" s="2" t="s">
        <v>64</v>
      </c>
      <c r="N394" s="4">
        <v>45281</v>
      </c>
      <c r="O394" s="3" t="str">
        <f t="shared" si="13"/>
        <v>Dec</v>
      </c>
      <c r="P394" s="13" t="s">
        <v>77</v>
      </c>
    </row>
    <row r="395" spans="1:16" x14ac:dyDescent="0.25">
      <c r="A395" s="10" t="s">
        <v>470</v>
      </c>
      <c r="B395" s="1" t="s">
        <v>80</v>
      </c>
      <c r="C395" s="1" t="s">
        <v>70</v>
      </c>
      <c r="D395" s="1" t="s">
        <v>16</v>
      </c>
      <c r="E395" s="1" t="s">
        <v>30</v>
      </c>
      <c r="F395" s="1" t="s">
        <v>31</v>
      </c>
      <c r="G395" s="1">
        <v>4</v>
      </c>
      <c r="H395" s="1">
        <f t="shared" si="12"/>
        <v>78905</v>
      </c>
      <c r="I395" s="1">
        <v>315620</v>
      </c>
      <c r="J395" s="6">
        <v>0.05</v>
      </c>
      <c r="K395" s="7">
        <v>299839</v>
      </c>
      <c r="L395" s="1" t="s">
        <v>60</v>
      </c>
      <c r="M395" s="1" t="s">
        <v>64</v>
      </c>
      <c r="N395" s="3">
        <v>45275</v>
      </c>
      <c r="O395" s="3" t="str">
        <f t="shared" si="13"/>
        <v>Dec</v>
      </c>
      <c r="P395" s="12" t="s">
        <v>122</v>
      </c>
    </row>
    <row r="396" spans="1:16" x14ac:dyDescent="0.25">
      <c r="A396" s="11" t="s">
        <v>471</v>
      </c>
      <c r="B396" s="1" t="s">
        <v>103</v>
      </c>
      <c r="C396" s="2" t="s">
        <v>47</v>
      </c>
      <c r="D396" s="1" t="s">
        <v>16</v>
      </c>
      <c r="E396" s="1" t="s">
        <v>43</v>
      </c>
      <c r="F396" s="2" t="s">
        <v>142</v>
      </c>
      <c r="G396" s="1">
        <v>17</v>
      </c>
      <c r="H396" s="1">
        <f t="shared" si="12"/>
        <v>23671</v>
      </c>
      <c r="I396" s="2">
        <v>402407</v>
      </c>
      <c r="J396" s="6">
        <v>4.999999999999994E-2</v>
      </c>
      <c r="K396" s="8">
        <v>382286.65</v>
      </c>
      <c r="L396" s="2" t="s">
        <v>19</v>
      </c>
      <c r="M396" s="2" t="s">
        <v>38</v>
      </c>
      <c r="N396" s="4">
        <v>45079</v>
      </c>
      <c r="O396" s="3" t="str">
        <f t="shared" si="13"/>
        <v>Jun</v>
      </c>
      <c r="P396" s="13" t="s">
        <v>74</v>
      </c>
    </row>
    <row r="397" spans="1:16" x14ac:dyDescent="0.25">
      <c r="A397" s="10" t="s">
        <v>472</v>
      </c>
      <c r="B397" s="1" t="s">
        <v>53</v>
      </c>
      <c r="C397" s="1" t="s">
        <v>58</v>
      </c>
      <c r="D397" s="1" t="s">
        <v>29</v>
      </c>
      <c r="E397" s="1" t="s">
        <v>35</v>
      </c>
      <c r="F397" s="1" t="s">
        <v>68</v>
      </c>
      <c r="G397" s="1">
        <v>15</v>
      </c>
      <c r="H397" s="1">
        <f t="shared" si="12"/>
        <v>447685</v>
      </c>
      <c r="I397" s="1">
        <v>6715275</v>
      </c>
      <c r="J397" s="6">
        <v>0.05</v>
      </c>
      <c r="K397" s="7">
        <v>6379511.25</v>
      </c>
      <c r="L397" s="1" t="s">
        <v>37</v>
      </c>
      <c r="M397" s="1" t="s">
        <v>64</v>
      </c>
      <c r="N397" s="3">
        <v>45207</v>
      </c>
      <c r="O397" s="3" t="str">
        <f t="shared" si="13"/>
        <v>Oct</v>
      </c>
      <c r="P397" s="12" t="s">
        <v>83</v>
      </c>
    </row>
    <row r="398" spans="1:16" x14ac:dyDescent="0.25">
      <c r="A398" s="11" t="s">
        <v>473</v>
      </c>
      <c r="B398" s="1" t="s">
        <v>67</v>
      </c>
      <c r="C398" s="2" t="s">
        <v>51</v>
      </c>
      <c r="D398" s="1" t="s">
        <v>16</v>
      </c>
      <c r="E398" s="1" t="s">
        <v>17</v>
      </c>
      <c r="F398" s="2" t="s">
        <v>82</v>
      </c>
      <c r="G398" s="1">
        <v>3</v>
      </c>
      <c r="H398" s="1">
        <f t="shared" si="12"/>
        <v>43680</v>
      </c>
      <c r="I398" s="2">
        <v>131040</v>
      </c>
      <c r="J398" s="6">
        <v>0.1</v>
      </c>
      <c r="K398" s="8">
        <v>117936</v>
      </c>
      <c r="L398" s="2" t="s">
        <v>60</v>
      </c>
      <c r="M398" s="2" t="s">
        <v>38</v>
      </c>
      <c r="N398" s="4">
        <v>45269</v>
      </c>
      <c r="O398" s="3" t="str">
        <f t="shared" si="13"/>
        <v>Dec</v>
      </c>
      <c r="P398" s="13" t="s">
        <v>32</v>
      </c>
    </row>
    <row r="399" spans="1:16" x14ac:dyDescent="0.25">
      <c r="A399" s="10" t="s">
        <v>474</v>
      </c>
      <c r="B399" s="1" t="s">
        <v>101</v>
      </c>
      <c r="C399" s="1" t="s">
        <v>42</v>
      </c>
      <c r="D399" s="1" t="s">
        <v>29</v>
      </c>
      <c r="E399" s="1" t="s">
        <v>24</v>
      </c>
      <c r="F399" s="1" t="s">
        <v>71</v>
      </c>
      <c r="G399" s="1">
        <v>6</v>
      </c>
      <c r="H399" s="1">
        <f t="shared" si="12"/>
        <v>21827</v>
      </c>
      <c r="I399" s="1">
        <v>130962</v>
      </c>
      <c r="J399" s="6">
        <v>0</v>
      </c>
      <c r="K399" s="7">
        <v>130962</v>
      </c>
      <c r="L399" s="1" t="s">
        <v>19</v>
      </c>
      <c r="M399" s="1" t="s">
        <v>26</v>
      </c>
      <c r="N399" s="3">
        <v>45127</v>
      </c>
      <c r="O399" s="3" t="str">
        <f t="shared" si="13"/>
        <v>Jul</v>
      </c>
      <c r="P399" s="12" t="s">
        <v>122</v>
      </c>
    </row>
    <row r="400" spans="1:16" x14ac:dyDescent="0.25">
      <c r="A400" s="11" t="s">
        <v>475</v>
      </c>
      <c r="B400" s="1" t="s">
        <v>34</v>
      </c>
      <c r="C400" s="2" t="s">
        <v>54</v>
      </c>
      <c r="D400" s="1" t="s">
        <v>29</v>
      </c>
      <c r="E400" s="1" t="s">
        <v>30</v>
      </c>
      <c r="F400" s="2" t="s">
        <v>59</v>
      </c>
      <c r="G400" s="1">
        <v>3</v>
      </c>
      <c r="H400" s="1">
        <f t="shared" si="12"/>
        <v>195627</v>
      </c>
      <c r="I400" s="2">
        <v>586881</v>
      </c>
      <c r="J400" s="6">
        <v>0.15000000000000005</v>
      </c>
      <c r="K400" s="8">
        <v>498848.85</v>
      </c>
      <c r="L400" s="2" t="s">
        <v>19</v>
      </c>
      <c r="M400" s="2" t="s">
        <v>20</v>
      </c>
      <c r="N400" s="4">
        <v>45184</v>
      </c>
      <c r="O400" s="3" t="str">
        <f t="shared" si="13"/>
        <v>Sep</v>
      </c>
      <c r="P400" s="13" t="s">
        <v>39</v>
      </c>
    </row>
    <row r="401" spans="1:16" x14ac:dyDescent="0.25">
      <c r="A401" s="10" t="s">
        <v>476</v>
      </c>
      <c r="B401" s="1" t="s">
        <v>95</v>
      </c>
      <c r="C401" s="1" t="s">
        <v>15</v>
      </c>
      <c r="D401" s="1" t="s">
        <v>29</v>
      </c>
      <c r="E401" s="1" t="s">
        <v>17</v>
      </c>
      <c r="F401" s="1" t="s">
        <v>68</v>
      </c>
      <c r="G401" s="1">
        <v>10</v>
      </c>
      <c r="H401" s="1">
        <f t="shared" si="12"/>
        <v>28022</v>
      </c>
      <c r="I401" s="1">
        <v>280220</v>
      </c>
      <c r="J401" s="6">
        <v>0</v>
      </c>
      <c r="K401" s="7">
        <v>280220</v>
      </c>
      <c r="L401" s="1" t="s">
        <v>60</v>
      </c>
      <c r="M401" s="1" t="s">
        <v>64</v>
      </c>
      <c r="N401" s="3">
        <v>45001</v>
      </c>
      <c r="O401" s="3" t="str">
        <f t="shared" si="13"/>
        <v>Mar</v>
      </c>
      <c r="P401" s="12" t="s">
        <v>77</v>
      </c>
    </row>
    <row r="402" spans="1:16" x14ac:dyDescent="0.25">
      <c r="A402" s="11" t="s">
        <v>477</v>
      </c>
      <c r="B402" s="1" t="s">
        <v>119</v>
      </c>
      <c r="C402" s="2" t="s">
        <v>47</v>
      </c>
      <c r="D402" s="1" t="s">
        <v>16</v>
      </c>
      <c r="E402" s="1" t="s">
        <v>43</v>
      </c>
      <c r="F402" s="2" t="s">
        <v>142</v>
      </c>
      <c r="G402" s="1">
        <v>10</v>
      </c>
      <c r="H402" s="1">
        <f t="shared" si="12"/>
        <v>65731</v>
      </c>
      <c r="I402" s="2">
        <v>657310</v>
      </c>
      <c r="J402" s="6">
        <v>0.1</v>
      </c>
      <c r="K402" s="8">
        <v>591579</v>
      </c>
      <c r="L402" s="2" t="s">
        <v>60</v>
      </c>
      <c r="M402" s="2" t="s">
        <v>20</v>
      </c>
      <c r="N402" s="4">
        <v>45283</v>
      </c>
      <c r="O402" s="3" t="str">
        <f t="shared" si="13"/>
        <v>Dec</v>
      </c>
      <c r="P402" s="13" t="s">
        <v>74</v>
      </c>
    </row>
    <row r="403" spans="1:16" x14ac:dyDescent="0.25">
      <c r="A403" s="10" t="s">
        <v>478</v>
      </c>
      <c r="B403" s="1" t="s">
        <v>34</v>
      </c>
      <c r="C403" s="1" t="s">
        <v>63</v>
      </c>
      <c r="D403" s="1" t="s">
        <v>29</v>
      </c>
      <c r="E403" s="1" t="s">
        <v>43</v>
      </c>
      <c r="F403" s="1" t="s">
        <v>44</v>
      </c>
      <c r="G403" s="1">
        <v>5</v>
      </c>
      <c r="H403" s="1">
        <f t="shared" si="12"/>
        <v>252303</v>
      </c>
      <c r="I403" s="1">
        <v>1261515</v>
      </c>
      <c r="J403" s="6">
        <v>0.15</v>
      </c>
      <c r="K403" s="7">
        <v>1072287.75</v>
      </c>
      <c r="L403" s="1" t="s">
        <v>37</v>
      </c>
      <c r="M403" s="1" t="s">
        <v>26</v>
      </c>
      <c r="N403" s="3">
        <v>45246</v>
      </c>
      <c r="O403" s="3" t="str">
        <f t="shared" si="13"/>
        <v>Nov</v>
      </c>
      <c r="P403" s="12" t="s">
        <v>45</v>
      </c>
    </row>
    <row r="404" spans="1:16" x14ac:dyDescent="0.25">
      <c r="A404" s="11" t="s">
        <v>479</v>
      </c>
      <c r="B404" s="1" t="s">
        <v>702</v>
      </c>
      <c r="C404" s="2" t="s">
        <v>81</v>
      </c>
      <c r="D404" s="1" t="s">
        <v>29</v>
      </c>
      <c r="E404" s="1" t="s">
        <v>35</v>
      </c>
      <c r="F404" s="2" t="s">
        <v>68</v>
      </c>
      <c r="G404" s="1">
        <v>1</v>
      </c>
      <c r="H404" s="1">
        <f t="shared" si="12"/>
        <v>71476</v>
      </c>
      <c r="I404" s="2">
        <v>71476</v>
      </c>
      <c r="J404" s="6">
        <v>0</v>
      </c>
      <c r="K404" s="8">
        <v>71476</v>
      </c>
      <c r="L404" s="2" t="s">
        <v>37</v>
      </c>
      <c r="M404" s="2" t="s">
        <v>38</v>
      </c>
      <c r="N404" s="4">
        <v>44944</v>
      </c>
      <c r="O404" s="3" t="str">
        <f t="shared" si="13"/>
        <v>Jan</v>
      </c>
      <c r="P404" s="13" t="s">
        <v>65</v>
      </c>
    </row>
    <row r="405" spans="1:16" x14ac:dyDescent="0.25">
      <c r="A405" s="10" t="s">
        <v>480</v>
      </c>
      <c r="B405" s="1" t="s">
        <v>41</v>
      </c>
      <c r="C405" s="1" t="s">
        <v>63</v>
      </c>
      <c r="D405" s="1" t="s">
        <v>29</v>
      </c>
      <c r="E405" s="1" t="s">
        <v>17</v>
      </c>
      <c r="F405" s="1" t="s">
        <v>108</v>
      </c>
      <c r="G405" s="1">
        <v>7</v>
      </c>
      <c r="H405" s="1">
        <f t="shared" si="12"/>
        <v>308030</v>
      </c>
      <c r="I405" s="1">
        <v>2156210</v>
      </c>
      <c r="J405" s="6">
        <v>0.05</v>
      </c>
      <c r="K405" s="7">
        <v>2048399.5</v>
      </c>
      <c r="L405" s="1" t="s">
        <v>19</v>
      </c>
      <c r="M405" s="1" t="s">
        <v>20</v>
      </c>
      <c r="N405" s="3">
        <v>44928</v>
      </c>
      <c r="O405" s="3" t="str">
        <f t="shared" si="13"/>
        <v>Jan</v>
      </c>
      <c r="P405" s="12" t="s">
        <v>83</v>
      </c>
    </row>
    <row r="406" spans="1:16" x14ac:dyDescent="0.25">
      <c r="A406" s="11" t="s">
        <v>481</v>
      </c>
      <c r="B406" s="1" t="s">
        <v>101</v>
      </c>
      <c r="C406" s="2" t="s">
        <v>47</v>
      </c>
      <c r="D406" s="1" t="s">
        <v>16</v>
      </c>
      <c r="E406" s="1" t="s">
        <v>24</v>
      </c>
      <c r="F406" s="2" t="s">
        <v>48</v>
      </c>
      <c r="G406" s="1">
        <v>11</v>
      </c>
      <c r="H406" s="1">
        <f t="shared" si="12"/>
        <v>67701</v>
      </c>
      <c r="I406" s="2">
        <v>744711</v>
      </c>
      <c r="J406" s="6">
        <v>0.19999999999999993</v>
      </c>
      <c r="K406" s="8">
        <v>595768.80000000005</v>
      </c>
      <c r="L406" s="2" t="s">
        <v>60</v>
      </c>
      <c r="M406" s="2" t="s">
        <v>26</v>
      </c>
      <c r="N406" s="4">
        <v>45239</v>
      </c>
      <c r="O406" s="3" t="str">
        <f t="shared" si="13"/>
        <v>Nov</v>
      </c>
      <c r="P406" s="13" t="s">
        <v>32</v>
      </c>
    </row>
    <row r="407" spans="1:16" x14ac:dyDescent="0.25">
      <c r="A407" s="10" t="s">
        <v>482</v>
      </c>
      <c r="B407" s="1" t="s">
        <v>90</v>
      </c>
      <c r="C407" s="1" t="s">
        <v>81</v>
      </c>
      <c r="D407" s="1" t="s">
        <v>29</v>
      </c>
      <c r="E407" s="1" t="s">
        <v>24</v>
      </c>
      <c r="F407" s="1" t="s">
        <v>48</v>
      </c>
      <c r="G407" s="1">
        <v>2</v>
      </c>
      <c r="H407" s="1">
        <f t="shared" si="12"/>
        <v>14046</v>
      </c>
      <c r="I407" s="1">
        <v>28092</v>
      </c>
      <c r="J407" s="6">
        <v>0.14999999999999997</v>
      </c>
      <c r="K407" s="7">
        <v>23878.2</v>
      </c>
      <c r="L407" s="1" t="s">
        <v>37</v>
      </c>
      <c r="M407" s="1" t="s">
        <v>38</v>
      </c>
      <c r="N407" s="3">
        <v>45010</v>
      </c>
      <c r="O407" s="3" t="str">
        <f t="shared" si="13"/>
        <v>Mar</v>
      </c>
      <c r="P407" s="12" t="s">
        <v>45</v>
      </c>
    </row>
    <row r="408" spans="1:16" x14ac:dyDescent="0.25">
      <c r="A408" s="11" t="s">
        <v>483</v>
      </c>
      <c r="B408" s="1" t="s">
        <v>53</v>
      </c>
      <c r="C408" s="2" t="s">
        <v>47</v>
      </c>
      <c r="D408" s="1" t="s">
        <v>16</v>
      </c>
      <c r="E408" s="1" t="s">
        <v>43</v>
      </c>
      <c r="F408" s="2" t="s">
        <v>73</v>
      </c>
      <c r="G408" s="1">
        <v>5</v>
      </c>
      <c r="H408" s="1">
        <f t="shared" si="12"/>
        <v>10593</v>
      </c>
      <c r="I408" s="2">
        <v>52965</v>
      </c>
      <c r="J408" s="6">
        <v>0.15</v>
      </c>
      <c r="K408" s="8">
        <v>45020.25</v>
      </c>
      <c r="L408" s="2" t="s">
        <v>37</v>
      </c>
      <c r="M408" s="2" t="s">
        <v>38</v>
      </c>
      <c r="N408" s="4">
        <v>45057</v>
      </c>
      <c r="O408" s="3" t="str">
        <f t="shared" si="13"/>
        <v>May</v>
      </c>
      <c r="P408" s="13" t="s">
        <v>74</v>
      </c>
    </row>
    <row r="409" spans="1:16" x14ac:dyDescent="0.25">
      <c r="A409" s="10" t="s">
        <v>484</v>
      </c>
      <c r="B409" s="1" t="s">
        <v>95</v>
      </c>
      <c r="C409" s="1" t="s">
        <v>51</v>
      </c>
      <c r="D409" s="1" t="s">
        <v>16</v>
      </c>
      <c r="E409" s="1" t="s">
        <v>35</v>
      </c>
      <c r="F409" s="1" t="s">
        <v>108</v>
      </c>
      <c r="G409" s="1">
        <v>10</v>
      </c>
      <c r="H409" s="1">
        <f t="shared" si="12"/>
        <v>10856</v>
      </c>
      <c r="I409" s="1">
        <v>108560</v>
      </c>
      <c r="J409" s="6">
        <v>0</v>
      </c>
      <c r="K409" s="7">
        <v>108560</v>
      </c>
      <c r="L409" s="1" t="s">
        <v>49</v>
      </c>
      <c r="M409" s="1" t="s">
        <v>38</v>
      </c>
      <c r="N409" s="3">
        <v>45150</v>
      </c>
      <c r="O409" s="3" t="str">
        <f t="shared" si="13"/>
        <v>Aug</v>
      </c>
      <c r="P409" s="12" t="s">
        <v>32</v>
      </c>
    </row>
    <row r="410" spans="1:16" x14ac:dyDescent="0.25">
      <c r="A410" s="11" t="s">
        <v>485</v>
      </c>
      <c r="B410" s="1" t="s">
        <v>67</v>
      </c>
      <c r="C410" s="2" t="s">
        <v>58</v>
      </c>
      <c r="D410" s="1" t="s">
        <v>29</v>
      </c>
      <c r="E410" s="1" t="s">
        <v>43</v>
      </c>
      <c r="F410" s="2" t="s">
        <v>142</v>
      </c>
      <c r="G410" s="1">
        <v>12</v>
      </c>
      <c r="H410" s="1">
        <f t="shared" si="12"/>
        <v>172774</v>
      </c>
      <c r="I410" s="2">
        <v>2073288</v>
      </c>
      <c r="J410" s="6">
        <v>0.20000000000000004</v>
      </c>
      <c r="K410" s="8">
        <v>1658630.4</v>
      </c>
      <c r="L410" s="2" t="s">
        <v>37</v>
      </c>
      <c r="M410" s="2" t="s">
        <v>26</v>
      </c>
      <c r="N410" s="4">
        <v>45096</v>
      </c>
      <c r="O410" s="3" t="str">
        <f t="shared" si="13"/>
        <v>Jun</v>
      </c>
      <c r="P410" s="13" t="s">
        <v>74</v>
      </c>
    </row>
    <row r="411" spans="1:16" x14ac:dyDescent="0.25">
      <c r="A411" s="10" t="s">
        <v>486</v>
      </c>
      <c r="B411" s="1" t="s">
        <v>92</v>
      </c>
      <c r="C411" s="1" t="s">
        <v>58</v>
      </c>
      <c r="D411" s="1" t="s">
        <v>29</v>
      </c>
      <c r="E411" s="1" t="s">
        <v>35</v>
      </c>
      <c r="F411" s="1" t="s">
        <v>68</v>
      </c>
      <c r="G411" s="1">
        <v>5</v>
      </c>
      <c r="H411" s="1">
        <f t="shared" si="12"/>
        <v>405770</v>
      </c>
      <c r="I411" s="1">
        <v>2028850</v>
      </c>
      <c r="J411" s="6">
        <v>0.05</v>
      </c>
      <c r="K411" s="7">
        <v>1927407.5</v>
      </c>
      <c r="L411" s="1" t="s">
        <v>19</v>
      </c>
      <c r="M411" s="1" t="s">
        <v>26</v>
      </c>
      <c r="N411" s="3">
        <v>45119</v>
      </c>
      <c r="O411" s="3" t="str">
        <f t="shared" si="13"/>
        <v>Jul</v>
      </c>
      <c r="P411" s="12" t="s">
        <v>39</v>
      </c>
    </row>
    <row r="412" spans="1:16" x14ac:dyDescent="0.25">
      <c r="A412" s="11" t="s">
        <v>487</v>
      </c>
      <c r="B412" s="1" t="s">
        <v>95</v>
      </c>
      <c r="C412" s="2" t="s">
        <v>70</v>
      </c>
      <c r="D412" s="1" t="s">
        <v>16</v>
      </c>
      <c r="E412" s="1" t="s">
        <v>30</v>
      </c>
      <c r="F412" s="2" t="s">
        <v>31</v>
      </c>
      <c r="G412" s="1">
        <v>5</v>
      </c>
      <c r="H412" s="1">
        <f t="shared" si="12"/>
        <v>44789</v>
      </c>
      <c r="I412" s="2">
        <v>223945</v>
      </c>
      <c r="J412" s="6">
        <v>0</v>
      </c>
      <c r="K412" s="8">
        <v>223945</v>
      </c>
      <c r="L412" s="2" t="s">
        <v>60</v>
      </c>
      <c r="M412" s="2" t="s">
        <v>20</v>
      </c>
      <c r="N412" s="4">
        <v>45062</v>
      </c>
      <c r="O412" s="3" t="str">
        <f t="shared" si="13"/>
        <v>May</v>
      </c>
      <c r="P412" s="13" t="s">
        <v>32</v>
      </c>
    </row>
    <row r="413" spans="1:16" x14ac:dyDescent="0.25">
      <c r="A413" s="10" t="s">
        <v>488</v>
      </c>
      <c r="B413" s="1" t="s">
        <v>702</v>
      </c>
      <c r="C413" s="1" t="s">
        <v>15</v>
      </c>
      <c r="D413" s="1" t="s">
        <v>16</v>
      </c>
      <c r="E413" s="1" t="s">
        <v>35</v>
      </c>
      <c r="F413" s="1" t="s">
        <v>108</v>
      </c>
      <c r="G413" s="1">
        <v>5</v>
      </c>
      <c r="H413" s="1">
        <f t="shared" si="12"/>
        <v>24558</v>
      </c>
      <c r="I413" s="1">
        <v>122790</v>
      </c>
      <c r="J413" s="6">
        <v>0.15</v>
      </c>
      <c r="K413" s="7">
        <v>104371.5</v>
      </c>
      <c r="L413" s="1" t="s">
        <v>37</v>
      </c>
      <c r="M413" s="1" t="s">
        <v>26</v>
      </c>
      <c r="N413" s="3">
        <v>45111</v>
      </c>
      <c r="O413" s="3" t="str">
        <f t="shared" si="13"/>
        <v>Jul</v>
      </c>
      <c r="P413" s="12" t="s">
        <v>77</v>
      </c>
    </row>
    <row r="414" spans="1:16" x14ac:dyDescent="0.25">
      <c r="A414" s="11" t="s">
        <v>489</v>
      </c>
      <c r="B414" s="1" t="s">
        <v>702</v>
      </c>
      <c r="C414" s="2" t="s">
        <v>47</v>
      </c>
      <c r="D414" s="1" t="s">
        <v>16</v>
      </c>
      <c r="E414" s="1" t="s">
        <v>17</v>
      </c>
      <c r="F414" s="2" t="s">
        <v>73</v>
      </c>
      <c r="G414" s="1">
        <v>16</v>
      </c>
      <c r="H414" s="1">
        <f t="shared" si="12"/>
        <v>16980</v>
      </c>
      <c r="I414" s="2">
        <v>271680</v>
      </c>
      <c r="J414" s="6">
        <v>0.2</v>
      </c>
      <c r="K414" s="8">
        <v>217344</v>
      </c>
      <c r="L414" s="2" t="s">
        <v>49</v>
      </c>
      <c r="M414" s="2" t="s">
        <v>64</v>
      </c>
      <c r="N414" s="4">
        <v>45098</v>
      </c>
      <c r="O414" s="3" t="str">
        <f t="shared" si="13"/>
        <v>Jun</v>
      </c>
      <c r="P414" s="13" t="s">
        <v>21</v>
      </c>
    </row>
    <row r="415" spans="1:16" x14ac:dyDescent="0.25">
      <c r="A415" s="10" t="s">
        <v>490</v>
      </c>
      <c r="B415" s="1" t="s">
        <v>34</v>
      </c>
      <c r="C415" s="1" t="s">
        <v>15</v>
      </c>
      <c r="D415" s="1" t="s">
        <v>16</v>
      </c>
      <c r="E415" s="1" t="s">
        <v>35</v>
      </c>
      <c r="F415" s="1" t="s">
        <v>68</v>
      </c>
      <c r="G415" s="1">
        <v>8</v>
      </c>
      <c r="H415" s="1">
        <f t="shared" si="12"/>
        <v>66925</v>
      </c>
      <c r="I415" s="1">
        <v>535400</v>
      </c>
      <c r="J415" s="6">
        <v>0</v>
      </c>
      <c r="K415" s="7">
        <v>535400</v>
      </c>
      <c r="L415" s="1" t="s">
        <v>19</v>
      </c>
      <c r="M415" s="1" t="s">
        <v>64</v>
      </c>
      <c r="N415" s="3">
        <v>45095</v>
      </c>
      <c r="O415" s="3" t="str">
        <f t="shared" si="13"/>
        <v>Jun</v>
      </c>
      <c r="P415" s="12" t="s">
        <v>39</v>
      </c>
    </row>
    <row r="416" spans="1:16" x14ac:dyDescent="0.25">
      <c r="A416" s="11" t="s">
        <v>491</v>
      </c>
      <c r="B416" s="1" t="s">
        <v>95</v>
      </c>
      <c r="C416" s="2" t="s">
        <v>81</v>
      </c>
      <c r="D416" s="1" t="s">
        <v>29</v>
      </c>
      <c r="E416" s="1" t="s">
        <v>35</v>
      </c>
      <c r="F416" s="2" t="s">
        <v>68</v>
      </c>
      <c r="G416" s="1">
        <v>3</v>
      </c>
      <c r="H416" s="1">
        <f t="shared" si="12"/>
        <v>69574</v>
      </c>
      <c r="I416" s="2">
        <v>208722</v>
      </c>
      <c r="J416" s="6">
        <v>0.19999999999999998</v>
      </c>
      <c r="K416" s="8">
        <v>166977.60000000001</v>
      </c>
      <c r="L416" s="2" t="s">
        <v>49</v>
      </c>
      <c r="M416" s="2" t="s">
        <v>26</v>
      </c>
      <c r="N416" s="4">
        <v>45097</v>
      </c>
      <c r="O416" s="3" t="str">
        <f t="shared" si="13"/>
        <v>Jun</v>
      </c>
      <c r="P416" s="13" t="s">
        <v>77</v>
      </c>
    </row>
    <row r="417" spans="1:16" x14ac:dyDescent="0.25">
      <c r="A417" s="10" t="s">
        <v>492</v>
      </c>
      <c r="B417" s="1" t="s">
        <v>702</v>
      </c>
      <c r="C417" s="1" t="s">
        <v>63</v>
      </c>
      <c r="D417" s="1" t="s">
        <v>29</v>
      </c>
      <c r="E417" s="1" t="s">
        <v>30</v>
      </c>
      <c r="F417" s="1" t="s">
        <v>125</v>
      </c>
      <c r="G417" s="1">
        <v>6</v>
      </c>
      <c r="H417" s="1">
        <f t="shared" si="12"/>
        <v>474075</v>
      </c>
      <c r="I417" s="1">
        <v>2844450</v>
      </c>
      <c r="J417" s="6">
        <v>0.15</v>
      </c>
      <c r="K417" s="7">
        <v>2417782.5</v>
      </c>
      <c r="L417" s="1" t="s">
        <v>37</v>
      </c>
      <c r="M417" s="1" t="s">
        <v>64</v>
      </c>
      <c r="N417" s="3">
        <v>45030</v>
      </c>
      <c r="O417" s="3" t="str">
        <f t="shared" si="13"/>
        <v>Apr</v>
      </c>
      <c r="P417" s="12" t="s">
        <v>74</v>
      </c>
    </row>
    <row r="418" spans="1:16" x14ac:dyDescent="0.25">
      <c r="A418" s="11" t="s">
        <v>493</v>
      </c>
      <c r="B418" s="1" t="s">
        <v>95</v>
      </c>
      <c r="C418" s="2" t="s">
        <v>58</v>
      </c>
      <c r="D418" s="1" t="s">
        <v>29</v>
      </c>
      <c r="E418" s="1" t="s">
        <v>35</v>
      </c>
      <c r="F418" s="2" t="s">
        <v>68</v>
      </c>
      <c r="G418" s="1">
        <v>13</v>
      </c>
      <c r="H418" s="1">
        <f t="shared" si="12"/>
        <v>340770</v>
      </c>
      <c r="I418" s="2">
        <v>4430010</v>
      </c>
      <c r="J418" s="6">
        <v>0.2</v>
      </c>
      <c r="K418" s="8">
        <v>3544008</v>
      </c>
      <c r="L418" s="2" t="s">
        <v>60</v>
      </c>
      <c r="M418" s="2" t="s">
        <v>38</v>
      </c>
      <c r="N418" s="4">
        <v>45055</v>
      </c>
      <c r="O418" s="3" t="str">
        <f t="shared" si="13"/>
        <v>May</v>
      </c>
      <c r="P418" s="13" t="s">
        <v>83</v>
      </c>
    </row>
    <row r="419" spans="1:16" x14ac:dyDescent="0.25">
      <c r="A419" s="10" t="s">
        <v>200</v>
      </c>
      <c r="B419" s="1" t="s">
        <v>87</v>
      </c>
      <c r="C419" s="1" t="s">
        <v>15</v>
      </c>
      <c r="D419" s="1" t="s">
        <v>16</v>
      </c>
      <c r="E419" s="1" t="s">
        <v>30</v>
      </c>
      <c r="F419" s="1" t="s">
        <v>125</v>
      </c>
      <c r="G419" s="1">
        <v>14</v>
      </c>
      <c r="H419" s="1">
        <f t="shared" si="12"/>
        <v>31050</v>
      </c>
      <c r="I419" s="1">
        <v>434700</v>
      </c>
      <c r="J419" s="6">
        <v>0.1</v>
      </c>
      <c r="K419" s="7">
        <v>391230</v>
      </c>
      <c r="L419" s="1" t="s">
        <v>19</v>
      </c>
      <c r="M419" s="1" t="s">
        <v>38</v>
      </c>
      <c r="N419" s="3">
        <v>45140</v>
      </c>
      <c r="O419" s="3" t="str">
        <f t="shared" si="13"/>
        <v>Aug</v>
      </c>
      <c r="P419" s="12" t="s">
        <v>45</v>
      </c>
    </row>
    <row r="420" spans="1:16" x14ac:dyDescent="0.25">
      <c r="A420" s="10" t="s">
        <v>494</v>
      </c>
      <c r="B420" s="1" t="s">
        <v>87</v>
      </c>
      <c r="C420" s="1" t="s">
        <v>81</v>
      </c>
      <c r="D420" s="1" t="s">
        <v>29</v>
      </c>
      <c r="E420" s="1" t="s">
        <v>30</v>
      </c>
      <c r="F420" s="1" t="s">
        <v>31</v>
      </c>
      <c r="G420" s="1">
        <v>13</v>
      </c>
      <c r="H420" s="1">
        <f t="shared" si="12"/>
        <v>65161</v>
      </c>
      <c r="I420" s="1">
        <v>847093</v>
      </c>
      <c r="J420" s="6">
        <v>0.19999999999999998</v>
      </c>
      <c r="K420" s="7">
        <v>677674.4</v>
      </c>
      <c r="L420" s="1" t="s">
        <v>60</v>
      </c>
      <c r="M420" s="1" t="s">
        <v>20</v>
      </c>
      <c r="N420" s="3">
        <v>45257</v>
      </c>
      <c r="O420" s="3" t="str">
        <f t="shared" si="13"/>
        <v>Nov</v>
      </c>
      <c r="P420" s="12" t="s">
        <v>55</v>
      </c>
    </row>
    <row r="421" spans="1:16" x14ac:dyDescent="0.25">
      <c r="A421" s="10" t="s">
        <v>495</v>
      </c>
      <c r="B421" s="1" t="s">
        <v>95</v>
      </c>
      <c r="C421" s="1" t="s">
        <v>54</v>
      </c>
      <c r="D421" s="1" t="s">
        <v>29</v>
      </c>
      <c r="E421" s="1" t="s">
        <v>43</v>
      </c>
      <c r="F421" s="1" t="s">
        <v>44</v>
      </c>
      <c r="G421" s="1">
        <v>9</v>
      </c>
      <c r="H421" s="1">
        <f t="shared" si="12"/>
        <v>192942</v>
      </c>
      <c r="I421" s="1">
        <v>1736478</v>
      </c>
      <c r="J421" s="6">
        <v>0.14999999999999997</v>
      </c>
      <c r="K421" s="7">
        <v>1476006.3</v>
      </c>
      <c r="L421" s="1" t="s">
        <v>49</v>
      </c>
      <c r="M421" s="1" t="s">
        <v>20</v>
      </c>
      <c r="N421" s="3">
        <v>45037</v>
      </c>
      <c r="O421" s="3" t="str">
        <f t="shared" si="13"/>
        <v>Apr</v>
      </c>
      <c r="P421" s="12" t="s">
        <v>55</v>
      </c>
    </row>
    <row r="422" spans="1:16" x14ac:dyDescent="0.25">
      <c r="A422" s="11" t="s">
        <v>496</v>
      </c>
      <c r="B422" s="1" t="s">
        <v>90</v>
      </c>
      <c r="C422" s="2" t="s">
        <v>28</v>
      </c>
      <c r="D422" s="1" t="s">
        <v>29</v>
      </c>
      <c r="E422" s="1" t="s">
        <v>17</v>
      </c>
      <c r="F422" s="2" t="s">
        <v>82</v>
      </c>
      <c r="G422" s="1">
        <v>7</v>
      </c>
      <c r="H422" s="1">
        <f t="shared" si="12"/>
        <v>32652</v>
      </c>
      <c r="I422" s="2">
        <v>228564</v>
      </c>
      <c r="J422" s="6">
        <v>0.19999999999999996</v>
      </c>
      <c r="K422" s="8">
        <v>182851.20000000001</v>
      </c>
      <c r="L422" s="2" t="s">
        <v>49</v>
      </c>
      <c r="M422" s="2" t="s">
        <v>64</v>
      </c>
      <c r="N422" s="4">
        <v>45053</v>
      </c>
      <c r="O422" s="3" t="str">
        <f t="shared" si="13"/>
        <v>May</v>
      </c>
      <c r="P422" s="13" t="s">
        <v>122</v>
      </c>
    </row>
    <row r="423" spans="1:16" x14ac:dyDescent="0.25">
      <c r="A423" s="10" t="s">
        <v>497</v>
      </c>
      <c r="B423" s="1" t="s">
        <v>85</v>
      </c>
      <c r="C423" s="1" t="s">
        <v>28</v>
      </c>
      <c r="D423" s="1" t="s">
        <v>29</v>
      </c>
      <c r="E423" s="1" t="s">
        <v>35</v>
      </c>
      <c r="F423" s="1" t="s">
        <v>68</v>
      </c>
      <c r="G423" s="1">
        <v>16</v>
      </c>
      <c r="H423" s="1">
        <f t="shared" si="12"/>
        <v>62961</v>
      </c>
      <c r="I423" s="1">
        <v>1007376</v>
      </c>
      <c r="J423" s="6">
        <v>9.9999999999999978E-2</v>
      </c>
      <c r="K423" s="7">
        <v>906638.4</v>
      </c>
      <c r="L423" s="1" t="s">
        <v>49</v>
      </c>
      <c r="M423" s="1" t="s">
        <v>20</v>
      </c>
      <c r="N423" s="3">
        <v>44994</v>
      </c>
      <c r="O423" s="3" t="str">
        <f t="shared" si="13"/>
        <v>Mar</v>
      </c>
      <c r="P423" s="12" t="s">
        <v>65</v>
      </c>
    </row>
    <row r="424" spans="1:16" x14ac:dyDescent="0.25">
      <c r="A424" s="11" t="s">
        <v>498</v>
      </c>
      <c r="B424" s="1" t="s">
        <v>62</v>
      </c>
      <c r="C424" s="2" t="s">
        <v>81</v>
      </c>
      <c r="D424" s="1" t="s">
        <v>29</v>
      </c>
      <c r="E424" s="1" t="s">
        <v>17</v>
      </c>
      <c r="F424" s="2" t="s">
        <v>73</v>
      </c>
      <c r="G424" s="1">
        <v>18</v>
      </c>
      <c r="H424" s="1">
        <f t="shared" si="12"/>
        <v>61525</v>
      </c>
      <c r="I424" s="2">
        <v>1107450</v>
      </c>
      <c r="J424" s="6">
        <v>0.05</v>
      </c>
      <c r="K424" s="8">
        <v>1052077.5</v>
      </c>
      <c r="L424" s="2" t="s">
        <v>49</v>
      </c>
      <c r="M424" s="2" t="s">
        <v>26</v>
      </c>
      <c r="N424" s="4">
        <v>45181</v>
      </c>
      <c r="O424" s="3" t="str">
        <f t="shared" si="13"/>
        <v>Sep</v>
      </c>
      <c r="P424" s="13" t="s">
        <v>55</v>
      </c>
    </row>
    <row r="425" spans="1:16" x14ac:dyDescent="0.25">
      <c r="A425" s="10" t="s">
        <v>499</v>
      </c>
      <c r="B425" s="1" t="s">
        <v>85</v>
      </c>
      <c r="C425" s="1" t="s">
        <v>47</v>
      </c>
      <c r="D425" s="1" t="s">
        <v>16</v>
      </c>
      <c r="E425" s="1" t="s">
        <v>43</v>
      </c>
      <c r="F425" s="1" t="s">
        <v>98</v>
      </c>
      <c r="G425" s="1">
        <v>12</v>
      </c>
      <c r="H425" s="1">
        <f t="shared" si="12"/>
        <v>52851</v>
      </c>
      <c r="I425" s="1">
        <v>634212</v>
      </c>
      <c r="J425" s="6">
        <v>0.15000000000000008</v>
      </c>
      <c r="K425" s="7">
        <v>539080.19999999995</v>
      </c>
      <c r="L425" s="1" t="s">
        <v>60</v>
      </c>
      <c r="M425" s="1" t="s">
        <v>38</v>
      </c>
      <c r="N425" s="3">
        <v>45221</v>
      </c>
      <c r="O425" s="3" t="str">
        <f t="shared" si="13"/>
        <v>Oct</v>
      </c>
      <c r="P425" s="12" t="s">
        <v>122</v>
      </c>
    </row>
    <row r="426" spans="1:16" x14ac:dyDescent="0.25">
      <c r="A426" s="11" t="s">
        <v>500</v>
      </c>
      <c r="B426" s="1" t="s">
        <v>23</v>
      </c>
      <c r="C426" s="2" t="s">
        <v>51</v>
      </c>
      <c r="D426" s="1" t="s">
        <v>16</v>
      </c>
      <c r="E426" s="1" t="s">
        <v>43</v>
      </c>
      <c r="F426" s="2" t="s">
        <v>142</v>
      </c>
      <c r="G426" s="1">
        <v>16</v>
      </c>
      <c r="H426" s="1">
        <f t="shared" si="12"/>
        <v>8966</v>
      </c>
      <c r="I426" s="2">
        <v>143456</v>
      </c>
      <c r="J426" s="6">
        <v>0</v>
      </c>
      <c r="K426" s="8">
        <v>143456</v>
      </c>
      <c r="L426" s="2" t="s">
        <v>19</v>
      </c>
      <c r="M426" s="2" t="s">
        <v>26</v>
      </c>
      <c r="N426" s="4">
        <v>45166</v>
      </c>
      <c r="O426" s="3" t="str">
        <f t="shared" si="13"/>
        <v>Aug</v>
      </c>
      <c r="P426" s="13" t="s">
        <v>21</v>
      </c>
    </row>
    <row r="427" spans="1:16" x14ac:dyDescent="0.25">
      <c r="A427" s="11" t="s">
        <v>501</v>
      </c>
      <c r="B427" s="1" t="s">
        <v>34</v>
      </c>
      <c r="C427" s="2" t="s">
        <v>42</v>
      </c>
      <c r="D427" s="1" t="s">
        <v>29</v>
      </c>
      <c r="E427" s="1" t="s">
        <v>43</v>
      </c>
      <c r="F427" s="2" t="s">
        <v>44</v>
      </c>
      <c r="G427" s="1">
        <v>16</v>
      </c>
      <c r="H427" s="1">
        <f t="shared" si="12"/>
        <v>22625</v>
      </c>
      <c r="I427" s="2">
        <v>362000</v>
      </c>
      <c r="J427" s="6">
        <v>0.2</v>
      </c>
      <c r="K427" s="8">
        <v>289600</v>
      </c>
      <c r="L427" s="2" t="s">
        <v>19</v>
      </c>
      <c r="M427" s="2" t="s">
        <v>26</v>
      </c>
      <c r="N427" s="4">
        <v>45174</v>
      </c>
      <c r="O427" s="3" t="str">
        <f t="shared" si="13"/>
        <v>Sep</v>
      </c>
      <c r="P427" s="13" t="s">
        <v>32</v>
      </c>
    </row>
    <row r="428" spans="1:16" x14ac:dyDescent="0.25">
      <c r="A428" s="10" t="s">
        <v>502</v>
      </c>
      <c r="B428" s="1" t="s">
        <v>23</v>
      </c>
      <c r="C428" s="1" t="s">
        <v>15</v>
      </c>
      <c r="D428" s="1" t="s">
        <v>16</v>
      </c>
      <c r="E428" s="1" t="s">
        <v>43</v>
      </c>
      <c r="F428" s="1" t="s">
        <v>142</v>
      </c>
      <c r="G428" s="1">
        <v>12</v>
      </c>
      <c r="H428" s="1">
        <f t="shared" si="12"/>
        <v>19201</v>
      </c>
      <c r="I428" s="1">
        <v>230412</v>
      </c>
      <c r="J428" s="6">
        <v>5.0000000000000024E-2</v>
      </c>
      <c r="K428" s="7">
        <v>218891.4</v>
      </c>
      <c r="L428" s="1" t="s">
        <v>19</v>
      </c>
      <c r="M428" s="1" t="s">
        <v>38</v>
      </c>
      <c r="N428" s="3">
        <v>44996</v>
      </c>
      <c r="O428" s="3" t="str">
        <f t="shared" si="13"/>
        <v>Mar</v>
      </c>
      <c r="P428" s="12" t="s">
        <v>83</v>
      </c>
    </row>
    <row r="429" spans="1:16" x14ac:dyDescent="0.25">
      <c r="A429" s="11" t="s">
        <v>503</v>
      </c>
      <c r="B429" s="1" t="s">
        <v>119</v>
      </c>
      <c r="C429" s="2" t="s">
        <v>63</v>
      </c>
      <c r="D429" s="1" t="s">
        <v>29</v>
      </c>
      <c r="E429" s="1" t="s">
        <v>35</v>
      </c>
      <c r="F429" s="2" t="s">
        <v>108</v>
      </c>
      <c r="G429" s="1">
        <v>13</v>
      </c>
      <c r="H429" s="1">
        <f t="shared" si="12"/>
        <v>424717</v>
      </c>
      <c r="I429" s="2">
        <v>5521321</v>
      </c>
      <c r="J429" s="6">
        <v>0</v>
      </c>
      <c r="K429" s="8">
        <v>5521321</v>
      </c>
      <c r="L429" s="2" t="s">
        <v>60</v>
      </c>
      <c r="M429" s="2" t="s">
        <v>64</v>
      </c>
      <c r="N429" s="4">
        <v>45243</v>
      </c>
      <c r="O429" s="3" t="str">
        <f t="shared" si="13"/>
        <v>Nov</v>
      </c>
      <c r="P429" s="13" t="s">
        <v>65</v>
      </c>
    </row>
    <row r="430" spans="1:16" x14ac:dyDescent="0.25">
      <c r="A430" s="10" t="s">
        <v>504</v>
      </c>
      <c r="B430" s="1" t="s">
        <v>76</v>
      </c>
      <c r="C430" s="1" t="s">
        <v>58</v>
      </c>
      <c r="D430" s="1" t="s">
        <v>29</v>
      </c>
      <c r="E430" s="1" t="s">
        <v>24</v>
      </c>
      <c r="F430" s="1" t="s">
        <v>71</v>
      </c>
      <c r="G430" s="1">
        <v>15</v>
      </c>
      <c r="H430" s="1">
        <f t="shared" si="12"/>
        <v>405225</v>
      </c>
      <c r="I430" s="1">
        <v>6078375</v>
      </c>
      <c r="J430" s="6">
        <v>0</v>
      </c>
      <c r="K430" s="7">
        <v>6078375</v>
      </c>
      <c r="L430" s="1" t="s">
        <v>60</v>
      </c>
      <c r="M430" s="1" t="s">
        <v>20</v>
      </c>
      <c r="N430" s="3">
        <v>44994</v>
      </c>
      <c r="O430" s="3" t="str">
        <f t="shared" si="13"/>
        <v>Mar</v>
      </c>
      <c r="P430" s="12" t="s">
        <v>55</v>
      </c>
    </row>
    <row r="431" spans="1:16" x14ac:dyDescent="0.25">
      <c r="A431" s="11" t="s">
        <v>505</v>
      </c>
      <c r="B431" s="1" t="s">
        <v>41</v>
      </c>
      <c r="C431" s="2" t="s">
        <v>47</v>
      </c>
      <c r="D431" s="1" t="s">
        <v>16</v>
      </c>
      <c r="E431" s="1" t="s">
        <v>17</v>
      </c>
      <c r="F431" s="2" t="s">
        <v>18</v>
      </c>
      <c r="G431" s="1">
        <v>13</v>
      </c>
      <c r="H431" s="1">
        <f t="shared" si="12"/>
        <v>76529</v>
      </c>
      <c r="I431" s="2">
        <v>994877</v>
      </c>
      <c r="J431" s="6">
        <v>9.999999999999995E-2</v>
      </c>
      <c r="K431" s="8">
        <v>895389.3</v>
      </c>
      <c r="L431" s="2" t="s">
        <v>19</v>
      </c>
      <c r="M431" s="2" t="s">
        <v>64</v>
      </c>
      <c r="N431" s="4">
        <v>45197</v>
      </c>
      <c r="O431" s="3" t="str">
        <f t="shared" si="13"/>
        <v>Sep</v>
      </c>
      <c r="P431" s="13" t="s">
        <v>32</v>
      </c>
    </row>
    <row r="432" spans="1:16" x14ac:dyDescent="0.25">
      <c r="A432" s="10" t="s">
        <v>506</v>
      </c>
      <c r="B432" s="1" t="s">
        <v>87</v>
      </c>
      <c r="C432" s="1" t="s">
        <v>63</v>
      </c>
      <c r="D432" s="1" t="s">
        <v>29</v>
      </c>
      <c r="E432" s="1" t="s">
        <v>17</v>
      </c>
      <c r="F432" s="1" t="s">
        <v>18</v>
      </c>
      <c r="G432" s="1">
        <v>11</v>
      </c>
      <c r="H432" s="1">
        <f t="shared" si="12"/>
        <v>227764</v>
      </c>
      <c r="I432" s="1">
        <v>2505404</v>
      </c>
      <c r="J432" s="6">
        <v>0</v>
      </c>
      <c r="K432" s="7">
        <v>2505404</v>
      </c>
      <c r="L432" s="1" t="s">
        <v>37</v>
      </c>
      <c r="M432" s="1" t="s">
        <v>64</v>
      </c>
      <c r="N432" s="3">
        <v>45210</v>
      </c>
      <c r="O432" s="3" t="str">
        <f t="shared" si="13"/>
        <v>Oct</v>
      </c>
      <c r="P432" s="12" t="s">
        <v>65</v>
      </c>
    </row>
    <row r="433" spans="1:16" x14ac:dyDescent="0.25">
      <c r="A433" s="11" t="s">
        <v>507</v>
      </c>
      <c r="B433" s="1" t="s">
        <v>57</v>
      </c>
      <c r="C433" s="2" t="s">
        <v>47</v>
      </c>
      <c r="D433" s="1" t="s">
        <v>16</v>
      </c>
      <c r="E433" s="1" t="s">
        <v>43</v>
      </c>
      <c r="F433" s="2" t="s">
        <v>98</v>
      </c>
      <c r="G433" s="1">
        <v>3</v>
      </c>
      <c r="H433" s="1">
        <f t="shared" si="12"/>
        <v>17475</v>
      </c>
      <c r="I433" s="2">
        <v>52425</v>
      </c>
      <c r="J433" s="6">
        <v>0</v>
      </c>
      <c r="K433" s="8">
        <v>52425</v>
      </c>
      <c r="L433" s="2" t="s">
        <v>49</v>
      </c>
      <c r="M433" s="2" t="s">
        <v>38</v>
      </c>
      <c r="N433" s="4">
        <v>45148</v>
      </c>
      <c r="O433" s="3" t="str">
        <f t="shared" si="13"/>
        <v>Aug</v>
      </c>
      <c r="P433" s="13" t="s">
        <v>32</v>
      </c>
    </row>
    <row r="434" spans="1:16" x14ac:dyDescent="0.25">
      <c r="A434" s="10" t="s">
        <v>508</v>
      </c>
      <c r="B434" s="1" t="s">
        <v>101</v>
      </c>
      <c r="C434" s="1" t="s">
        <v>42</v>
      </c>
      <c r="D434" s="1" t="s">
        <v>29</v>
      </c>
      <c r="E434" s="1" t="s">
        <v>43</v>
      </c>
      <c r="F434" s="1" t="s">
        <v>44</v>
      </c>
      <c r="G434" s="1">
        <v>5</v>
      </c>
      <c r="H434" s="1">
        <f t="shared" si="12"/>
        <v>75008</v>
      </c>
      <c r="I434" s="1">
        <v>375040</v>
      </c>
      <c r="J434" s="6">
        <v>0</v>
      </c>
      <c r="K434" s="7">
        <v>375040</v>
      </c>
      <c r="L434" s="1" t="s">
        <v>49</v>
      </c>
      <c r="M434" s="1" t="s">
        <v>64</v>
      </c>
      <c r="N434" s="3">
        <v>45244</v>
      </c>
      <c r="O434" s="3" t="str">
        <f t="shared" si="13"/>
        <v>Nov</v>
      </c>
      <c r="P434" s="12" t="s">
        <v>21</v>
      </c>
    </row>
    <row r="435" spans="1:16" x14ac:dyDescent="0.25">
      <c r="A435" s="11" t="s">
        <v>509</v>
      </c>
      <c r="B435" s="1" t="s">
        <v>34</v>
      </c>
      <c r="C435" s="2" t="s">
        <v>51</v>
      </c>
      <c r="D435" s="1" t="s">
        <v>16</v>
      </c>
      <c r="E435" s="1" t="s">
        <v>30</v>
      </c>
      <c r="F435" s="2" t="s">
        <v>59</v>
      </c>
      <c r="G435" s="1">
        <v>12</v>
      </c>
      <c r="H435" s="1">
        <f t="shared" si="12"/>
        <v>52226</v>
      </c>
      <c r="I435" s="2">
        <v>626712</v>
      </c>
      <c r="J435" s="6">
        <v>0.20000000000000004</v>
      </c>
      <c r="K435" s="8">
        <v>501369.59999999998</v>
      </c>
      <c r="L435" s="2" t="s">
        <v>19</v>
      </c>
      <c r="M435" s="2" t="s">
        <v>64</v>
      </c>
      <c r="N435" s="4">
        <v>45111</v>
      </c>
      <c r="O435" s="3" t="str">
        <f t="shared" si="13"/>
        <v>Jul</v>
      </c>
      <c r="P435" s="13" t="s">
        <v>77</v>
      </c>
    </row>
    <row r="436" spans="1:16" x14ac:dyDescent="0.25">
      <c r="A436" s="10" t="s">
        <v>510</v>
      </c>
      <c r="B436" s="1" t="s">
        <v>702</v>
      </c>
      <c r="C436" s="1" t="s">
        <v>70</v>
      </c>
      <c r="D436" s="1" t="s">
        <v>16</v>
      </c>
      <c r="E436" s="1" t="s">
        <v>17</v>
      </c>
      <c r="F436" s="1" t="s">
        <v>18</v>
      </c>
      <c r="G436" s="1">
        <v>1</v>
      </c>
      <c r="H436" s="1">
        <f t="shared" si="12"/>
        <v>52720</v>
      </c>
      <c r="I436" s="1">
        <v>52720</v>
      </c>
      <c r="J436" s="6">
        <v>0.2</v>
      </c>
      <c r="K436" s="7">
        <v>42176</v>
      </c>
      <c r="L436" s="1" t="s">
        <v>702</v>
      </c>
      <c r="M436" s="1" t="s">
        <v>26</v>
      </c>
      <c r="N436" s="3">
        <v>45033</v>
      </c>
      <c r="O436" s="3" t="str">
        <f t="shared" si="13"/>
        <v>Apr</v>
      </c>
      <c r="P436" s="12" t="s">
        <v>83</v>
      </c>
    </row>
    <row r="437" spans="1:16" x14ac:dyDescent="0.25">
      <c r="A437" s="11" t="s">
        <v>511</v>
      </c>
      <c r="B437" s="1" t="s">
        <v>92</v>
      </c>
      <c r="C437" s="2" t="s">
        <v>47</v>
      </c>
      <c r="D437" s="1" t="s">
        <v>16</v>
      </c>
      <c r="E437" s="1" t="s">
        <v>43</v>
      </c>
      <c r="F437" s="2" t="s">
        <v>98</v>
      </c>
      <c r="G437" s="1">
        <v>15</v>
      </c>
      <c r="H437" s="1">
        <f t="shared" si="12"/>
        <v>34949</v>
      </c>
      <c r="I437" s="2">
        <v>524235</v>
      </c>
      <c r="J437" s="6">
        <v>0.15</v>
      </c>
      <c r="K437" s="8">
        <v>445599.75</v>
      </c>
      <c r="L437" s="2" t="s">
        <v>37</v>
      </c>
      <c r="M437" s="2" t="s">
        <v>26</v>
      </c>
      <c r="N437" s="4">
        <v>45028</v>
      </c>
      <c r="O437" s="3" t="str">
        <f t="shared" si="13"/>
        <v>Apr</v>
      </c>
      <c r="P437" s="13" t="s">
        <v>77</v>
      </c>
    </row>
    <row r="438" spans="1:16" x14ac:dyDescent="0.25">
      <c r="A438" s="10" t="s">
        <v>512</v>
      </c>
      <c r="B438" s="1" t="s">
        <v>23</v>
      </c>
      <c r="C438" s="1" t="s">
        <v>15</v>
      </c>
      <c r="D438" s="1" t="s">
        <v>29</v>
      </c>
      <c r="E438" s="1" t="s">
        <v>30</v>
      </c>
      <c r="F438" s="1" t="s">
        <v>31</v>
      </c>
      <c r="G438" s="1">
        <v>17</v>
      </c>
      <c r="H438" s="1">
        <f t="shared" si="12"/>
        <v>71809</v>
      </c>
      <c r="I438" s="1">
        <v>1220753</v>
      </c>
      <c r="J438" s="6">
        <v>0.19999999999999998</v>
      </c>
      <c r="K438" s="7">
        <v>976602.4</v>
      </c>
      <c r="L438" s="1" t="s">
        <v>19</v>
      </c>
      <c r="M438" s="1" t="s">
        <v>26</v>
      </c>
      <c r="N438" s="3">
        <f>N437</f>
        <v>45028</v>
      </c>
      <c r="O438" s="3" t="str">
        <f t="shared" si="13"/>
        <v>Apr</v>
      </c>
      <c r="P438" s="12" t="s">
        <v>77</v>
      </c>
    </row>
    <row r="439" spans="1:16" x14ac:dyDescent="0.25">
      <c r="A439" s="11" t="s">
        <v>513</v>
      </c>
      <c r="B439" s="1" t="s">
        <v>76</v>
      </c>
      <c r="C439" s="2" t="s">
        <v>42</v>
      </c>
      <c r="D439" s="1" t="s">
        <v>29</v>
      </c>
      <c r="E439" s="1" t="s">
        <v>35</v>
      </c>
      <c r="F439" s="2" t="s">
        <v>108</v>
      </c>
      <c r="G439" s="1">
        <v>17</v>
      </c>
      <c r="H439" s="1">
        <f t="shared" si="12"/>
        <v>25319</v>
      </c>
      <c r="I439" s="2">
        <v>430423</v>
      </c>
      <c r="J439" s="6">
        <v>0.15000000000000002</v>
      </c>
      <c r="K439" s="8">
        <v>365859.55</v>
      </c>
      <c r="L439" s="2" t="s">
        <v>19</v>
      </c>
      <c r="M439" s="2" t="s">
        <v>26</v>
      </c>
      <c r="N439" s="4">
        <v>44951</v>
      </c>
      <c r="O439" s="3" t="str">
        <f t="shared" si="13"/>
        <v>Jan</v>
      </c>
      <c r="P439" s="13" t="s">
        <v>32</v>
      </c>
    </row>
    <row r="440" spans="1:16" x14ac:dyDescent="0.25">
      <c r="A440" s="10" t="s">
        <v>514</v>
      </c>
      <c r="B440" s="1" t="s">
        <v>57</v>
      </c>
      <c r="C440" s="1" t="s">
        <v>28</v>
      </c>
      <c r="D440" s="1" t="s">
        <v>29</v>
      </c>
      <c r="E440" s="1" t="s">
        <v>30</v>
      </c>
      <c r="F440" s="1" t="s">
        <v>125</v>
      </c>
      <c r="G440" s="1">
        <v>6</v>
      </c>
      <c r="H440" s="1">
        <f t="shared" si="12"/>
        <v>20408</v>
      </c>
      <c r="I440" s="1">
        <v>122448</v>
      </c>
      <c r="J440" s="6">
        <v>4.9999999999999954E-2</v>
      </c>
      <c r="K440" s="7">
        <v>116325.6</v>
      </c>
      <c r="L440" s="1" t="s">
        <v>19</v>
      </c>
      <c r="M440" s="1" t="s">
        <v>64</v>
      </c>
      <c r="N440" s="3">
        <v>45154</v>
      </c>
      <c r="O440" s="3" t="str">
        <f t="shared" si="13"/>
        <v>Aug</v>
      </c>
      <c r="P440" s="12" t="s">
        <v>83</v>
      </c>
    </row>
    <row r="441" spans="1:16" x14ac:dyDescent="0.25">
      <c r="A441" s="11" t="s">
        <v>515</v>
      </c>
      <c r="B441" s="1" t="s">
        <v>41</v>
      </c>
      <c r="C441" s="2" t="s">
        <v>70</v>
      </c>
      <c r="D441" s="1" t="s">
        <v>16</v>
      </c>
      <c r="E441" s="1" t="s">
        <v>43</v>
      </c>
      <c r="F441" s="2" t="s">
        <v>142</v>
      </c>
      <c r="G441" s="1">
        <v>10</v>
      </c>
      <c r="H441" s="1">
        <f t="shared" si="12"/>
        <v>63065</v>
      </c>
      <c r="I441" s="2">
        <v>630650</v>
      </c>
      <c r="J441" s="6">
        <v>0.1</v>
      </c>
      <c r="K441" s="8">
        <v>567585</v>
      </c>
      <c r="L441" s="2" t="s">
        <v>49</v>
      </c>
      <c r="M441" s="2" t="s">
        <v>38</v>
      </c>
      <c r="N441" s="4">
        <v>44929</v>
      </c>
      <c r="O441" s="3" t="str">
        <f t="shared" si="13"/>
        <v>Jan</v>
      </c>
      <c r="P441" s="13" t="s">
        <v>74</v>
      </c>
    </row>
    <row r="442" spans="1:16" x14ac:dyDescent="0.25">
      <c r="A442" s="10" t="s">
        <v>516</v>
      </c>
      <c r="B442" s="1" t="s">
        <v>76</v>
      </c>
      <c r="C442" s="1" t="s">
        <v>58</v>
      </c>
      <c r="D442" s="1" t="s">
        <v>29</v>
      </c>
      <c r="E442" s="1" t="s">
        <v>17</v>
      </c>
      <c r="F442" s="1" t="s">
        <v>73</v>
      </c>
      <c r="G442" s="1">
        <v>7</v>
      </c>
      <c r="H442" s="1">
        <f t="shared" si="12"/>
        <v>259949</v>
      </c>
      <c r="I442" s="1">
        <v>1819643</v>
      </c>
      <c r="J442" s="6">
        <v>0.20000000000000004</v>
      </c>
      <c r="K442" s="7">
        <v>1455714.4</v>
      </c>
      <c r="L442" s="1" t="s">
        <v>19</v>
      </c>
      <c r="M442" s="1" t="s">
        <v>38</v>
      </c>
      <c r="N442" s="3">
        <v>45281</v>
      </c>
      <c r="O442" s="3" t="str">
        <f t="shared" si="13"/>
        <v>Dec</v>
      </c>
      <c r="P442" s="12" t="s">
        <v>21</v>
      </c>
    </row>
    <row r="443" spans="1:16" x14ac:dyDescent="0.25">
      <c r="A443" s="11" t="s">
        <v>517</v>
      </c>
      <c r="B443" s="1" t="s">
        <v>103</v>
      </c>
      <c r="C443" s="2" t="s">
        <v>81</v>
      </c>
      <c r="D443" s="1" t="s">
        <v>29</v>
      </c>
      <c r="E443" s="1" t="s">
        <v>35</v>
      </c>
      <c r="F443" s="2" t="s">
        <v>68</v>
      </c>
      <c r="G443" s="1">
        <v>11</v>
      </c>
      <c r="H443" s="1">
        <f t="shared" si="12"/>
        <v>27296</v>
      </c>
      <c r="I443" s="2">
        <v>300256</v>
      </c>
      <c r="J443" s="6">
        <v>0.15</v>
      </c>
      <c r="K443" s="8">
        <v>255217.6</v>
      </c>
      <c r="L443" s="2" t="s">
        <v>49</v>
      </c>
      <c r="M443" s="2" t="s">
        <v>64</v>
      </c>
      <c r="N443" s="4">
        <v>45097</v>
      </c>
      <c r="O443" s="3" t="str">
        <f t="shared" si="13"/>
        <v>Jun</v>
      </c>
      <c r="P443" s="13" t="s">
        <v>74</v>
      </c>
    </row>
    <row r="444" spans="1:16" x14ac:dyDescent="0.25">
      <c r="A444" s="10" t="s">
        <v>518</v>
      </c>
      <c r="B444" s="1" t="s">
        <v>107</v>
      </c>
      <c r="C444" s="1" t="s">
        <v>63</v>
      </c>
      <c r="D444" s="1" t="s">
        <v>29</v>
      </c>
      <c r="E444" s="1" t="s">
        <v>17</v>
      </c>
      <c r="F444" s="1" t="s">
        <v>18</v>
      </c>
      <c r="G444" s="1">
        <v>2</v>
      </c>
      <c r="H444" s="1">
        <f t="shared" si="12"/>
        <v>315463</v>
      </c>
      <c r="I444" s="1">
        <v>630926</v>
      </c>
      <c r="J444" s="6">
        <v>9.9999999999999964E-2</v>
      </c>
      <c r="K444" s="7">
        <v>567833.4</v>
      </c>
      <c r="L444" s="1" t="s">
        <v>702</v>
      </c>
      <c r="M444" s="1" t="s">
        <v>20</v>
      </c>
      <c r="N444" s="3">
        <v>44951</v>
      </c>
      <c r="O444" s="3" t="str">
        <f t="shared" si="13"/>
        <v>Jan</v>
      </c>
      <c r="P444" s="12" t="s">
        <v>122</v>
      </c>
    </row>
    <row r="445" spans="1:16" x14ac:dyDescent="0.25">
      <c r="A445" s="11" t="s">
        <v>519</v>
      </c>
      <c r="B445" s="1" t="s">
        <v>90</v>
      </c>
      <c r="C445" s="2" t="s">
        <v>54</v>
      </c>
      <c r="D445" s="1" t="s">
        <v>29</v>
      </c>
      <c r="E445" s="1" t="s">
        <v>30</v>
      </c>
      <c r="F445" s="2" t="s">
        <v>98</v>
      </c>
      <c r="G445" s="1">
        <v>8</v>
      </c>
      <c r="H445" s="1">
        <f t="shared" si="12"/>
        <v>223860</v>
      </c>
      <c r="I445" s="2">
        <v>1790880</v>
      </c>
      <c r="J445" s="6">
        <v>0</v>
      </c>
      <c r="K445" s="8">
        <v>1790880</v>
      </c>
      <c r="L445" s="2" t="s">
        <v>37</v>
      </c>
      <c r="M445" s="2" t="s">
        <v>26</v>
      </c>
      <c r="N445" s="4">
        <v>45044</v>
      </c>
      <c r="O445" s="3" t="str">
        <f t="shared" si="13"/>
        <v>Apr</v>
      </c>
      <c r="P445" s="13" t="s">
        <v>21</v>
      </c>
    </row>
    <row r="446" spans="1:16" x14ac:dyDescent="0.25">
      <c r="A446" s="10" t="s">
        <v>520</v>
      </c>
      <c r="B446" s="1" t="s">
        <v>101</v>
      </c>
      <c r="C446" s="1" t="s">
        <v>58</v>
      </c>
      <c r="D446" s="1" t="s">
        <v>29</v>
      </c>
      <c r="E446" s="1" t="s">
        <v>35</v>
      </c>
      <c r="F446" s="1" t="s">
        <v>36</v>
      </c>
      <c r="G446" s="1">
        <v>20</v>
      </c>
      <c r="H446" s="1">
        <f t="shared" si="12"/>
        <v>463547</v>
      </c>
      <c r="I446" s="1">
        <v>9270940</v>
      </c>
      <c r="J446" s="6">
        <v>0.1</v>
      </c>
      <c r="K446" s="7">
        <v>8343846</v>
      </c>
      <c r="L446" s="1" t="s">
        <v>19</v>
      </c>
      <c r="M446" s="1" t="s">
        <v>26</v>
      </c>
      <c r="N446" s="3">
        <v>45132</v>
      </c>
      <c r="O446" s="3" t="str">
        <f t="shared" si="13"/>
        <v>Jul</v>
      </c>
      <c r="P446" s="12" t="s">
        <v>55</v>
      </c>
    </row>
    <row r="447" spans="1:16" x14ac:dyDescent="0.25">
      <c r="A447" s="11" t="s">
        <v>521</v>
      </c>
      <c r="B447" s="1" t="s">
        <v>103</v>
      </c>
      <c r="C447" s="2" t="s">
        <v>51</v>
      </c>
      <c r="D447" s="1" t="s">
        <v>16</v>
      </c>
      <c r="E447" s="1" t="s">
        <v>24</v>
      </c>
      <c r="F447" s="2" t="s">
        <v>48</v>
      </c>
      <c r="G447" s="1">
        <v>7</v>
      </c>
      <c r="H447" s="1">
        <f t="shared" si="12"/>
        <v>22103</v>
      </c>
      <c r="I447" s="2">
        <v>154721</v>
      </c>
      <c r="J447" s="6">
        <v>0.10000000000000003</v>
      </c>
      <c r="K447" s="8">
        <v>139248.9</v>
      </c>
      <c r="L447" s="2" t="s">
        <v>49</v>
      </c>
      <c r="M447" s="2" t="s">
        <v>64</v>
      </c>
      <c r="N447" s="4">
        <v>45004</v>
      </c>
      <c r="O447" s="3" t="str">
        <f t="shared" si="13"/>
        <v>Mar</v>
      </c>
      <c r="P447" s="13" t="s">
        <v>21</v>
      </c>
    </row>
    <row r="448" spans="1:16" x14ac:dyDescent="0.25">
      <c r="A448" s="10" t="s">
        <v>522</v>
      </c>
      <c r="B448" s="1" t="s">
        <v>87</v>
      </c>
      <c r="C448" s="1" t="s">
        <v>70</v>
      </c>
      <c r="D448" s="1" t="s">
        <v>16</v>
      </c>
      <c r="E448" s="1" t="s">
        <v>17</v>
      </c>
      <c r="F448" s="1" t="s">
        <v>73</v>
      </c>
      <c r="G448" s="1">
        <v>5</v>
      </c>
      <c r="H448" s="1">
        <f t="shared" si="12"/>
        <v>51976</v>
      </c>
      <c r="I448" s="1">
        <v>259880</v>
      </c>
      <c r="J448" s="6">
        <v>0.1</v>
      </c>
      <c r="K448" s="7">
        <v>233892</v>
      </c>
      <c r="L448" s="1" t="s">
        <v>49</v>
      </c>
      <c r="M448" s="1" t="s">
        <v>64</v>
      </c>
      <c r="N448" s="3">
        <v>45160</v>
      </c>
      <c r="O448" s="3" t="str">
        <f t="shared" si="13"/>
        <v>Aug</v>
      </c>
      <c r="P448" s="12" t="s">
        <v>65</v>
      </c>
    </row>
    <row r="449" spans="1:16" x14ac:dyDescent="0.25">
      <c r="A449" s="11" t="s">
        <v>523</v>
      </c>
      <c r="B449" s="1" t="s">
        <v>34</v>
      </c>
      <c r="C449" s="2" t="s">
        <v>28</v>
      </c>
      <c r="D449" s="1" t="s">
        <v>29</v>
      </c>
      <c r="E449" s="1" t="s">
        <v>43</v>
      </c>
      <c r="F449" s="2" t="s">
        <v>44</v>
      </c>
      <c r="G449" s="1">
        <v>17</v>
      </c>
      <c r="H449" s="1">
        <f t="shared" si="12"/>
        <v>50156</v>
      </c>
      <c r="I449" s="2">
        <v>852652</v>
      </c>
      <c r="J449" s="6">
        <v>4.9999999999999975E-2</v>
      </c>
      <c r="K449" s="8">
        <v>810019.4</v>
      </c>
      <c r="L449" s="2" t="s">
        <v>60</v>
      </c>
      <c r="M449" s="2" t="s">
        <v>38</v>
      </c>
      <c r="N449" s="4">
        <f>N448</f>
        <v>45160</v>
      </c>
      <c r="O449" s="3" t="str">
        <f t="shared" si="13"/>
        <v>Aug</v>
      </c>
      <c r="P449" s="13" t="s">
        <v>39</v>
      </c>
    </row>
    <row r="450" spans="1:16" x14ac:dyDescent="0.25">
      <c r="A450" s="10" t="s">
        <v>524</v>
      </c>
      <c r="B450" s="1" t="s">
        <v>67</v>
      </c>
      <c r="C450" s="1" t="s">
        <v>28</v>
      </c>
      <c r="D450" s="1" t="s">
        <v>29</v>
      </c>
      <c r="E450" s="1" t="s">
        <v>17</v>
      </c>
      <c r="F450" s="1" t="s">
        <v>82</v>
      </c>
      <c r="G450" s="1">
        <v>2</v>
      </c>
      <c r="H450" s="1">
        <f t="shared" ref="H450:H513" si="14">I450/G450</f>
        <v>52294</v>
      </c>
      <c r="I450" s="1">
        <v>104588</v>
      </c>
      <c r="J450" s="6">
        <v>0</v>
      </c>
      <c r="K450" s="7">
        <v>104588</v>
      </c>
      <c r="L450" s="1" t="s">
        <v>19</v>
      </c>
      <c r="M450" s="1" t="s">
        <v>26</v>
      </c>
      <c r="N450" s="3">
        <v>45020</v>
      </c>
      <c r="O450" s="3" t="str">
        <f t="shared" si="13"/>
        <v>Apr</v>
      </c>
      <c r="P450" s="12" t="s">
        <v>39</v>
      </c>
    </row>
    <row r="451" spans="1:16" x14ac:dyDescent="0.25">
      <c r="A451" s="11" t="s">
        <v>525</v>
      </c>
      <c r="B451" s="1" t="s">
        <v>114</v>
      </c>
      <c r="C451" s="2" t="s">
        <v>81</v>
      </c>
      <c r="D451" s="1" t="s">
        <v>29</v>
      </c>
      <c r="E451" s="1" t="s">
        <v>43</v>
      </c>
      <c r="F451" s="2" t="s">
        <v>98</v>
      </c>
      <c r="G451" s="1">
        <v>17</v>
      </c>
      <c r="H451" s="1">
        <f t="shared" si="14"/>
        <v>52425</v>
      </c>
      <c r="I451" s="2">
        <v>891225</v>
      </c>
      <c r="J451" s="6">
        <v>0</v>
      </c>
      <c r="K451" s="8">
        <v>891225</v>
      </c>
      <c r="L451" s="2" t="s">
        <v>60</v>
      </c>
      <c r="M451" s="2" t="s">
        <v>38</v>
      </c>
      <c r="N451" s="4">
        <v>45102</v>
      </c>
      <c r="O451" s="3" t="str">
        <f t="shared" ref="O451:O514" si="15">TEXT(N451,"mmm")</f>
        <v>Jun</v>
      </c>
      <c r="P451" s="13" t="s">
        <v>83</v>
      </c>
    </row>
    <row r="452" spans="1:16" x14ac:dyDescent="0.25">
      <c r="A452" s="10" t="s">
        <v>526</v>
      </c>
      <c r="B452" s="1" t="s">
        <v>85</v>
      </c>
      <c r="C452" s="1" t="s">
        <v>63</v>
      </c>
      <c r="D452" s="1" t="s">
        <v>29</v>
      </c>
      <c r="E452" s="1" t="s">
        <v>24</v>
      </c>
      <c r="F452" s="1" t="s">
        <v>25</v>
      </c>
      <c r="G452" s="1">
        <v>5</v>
      </c>
      <c r="H452" s="1">
        <f t="shared" si="14"/>
        <v>179313</v>
      </c>
      <c r="I452" s="1">
        <v>896565</v>
      </c>
      <c r="J452" s="6">
        <v>0.05</v>
      </c>
      <c r="K452" s="7">
        <v>851736.75</v>
      </c>
      <c r="L452" s="1" t="s">
        <v>37</v>
      </c>
      <c r="M452" s="1" t="s">
        <v>64</v>
      </c>
      <c r="N452" s="3">
        <v>45284</v>
      </c>
      <c r="O452" s="3" t="str">
        <f t="shared" si="15"/>
        <v>Dec</v>
      </c>
      <c r="P452" s="12" t="s">
        <v>65</v>
      </c>
    </row>
    <row r="453" spans="1:16" x14ac:dyDescent="0.25">
      <c r="A453" s="11" t="s">
        <v>527</v>
      </c>
      <c r="B453" s="1" t="s">
        <v>90</v>
      </c>
      <c r="C453" s="2" t="s">
        <v>54</v>
      </c>
      <c r="D453" s="1" t="s">
        <v>29</v>
      </c>
      <c r="E453" s="1" t="s">
        <v>17</v>
      </c>
      <c r="F453" s="2" t="s">
        <v>18</v>
      </c>
      <c r="G453" s="1">
        <v>16</v>
      </c>
      <c r="H453" s="1">
        <f t="shared" si="14"/>
        <v>244796</v>
      </c>
      <c r="I453" s="2">
        <v>3916736</v>
      </c>
      <c r="J453" s="6">
        <v>0.20000000000000004</v>
      </c>
      <c r="K453" s="8">
        <v>3133388.7999999998</v>
      </c>
      <c r="L453" s="2" t="s">
        <v>49</v>
      </c>
      <c r="M453" s="2" t="s">
        <v>38</v>
      </c>
      <c r="N453" s="4">
        <v>45226</v>
      </c>
      <c r="O453" s="3" t="str">
        <f t="shared" si="15"/>
        <v>Oct</v>
      </c>
      <c r="P453" s="13" t="s">
        <v>21</v>
      </c>
    </row>
    <row r="454" spans="1:16" x14ac:dyDescent="0.25">
      <c r="A454" s="10" t="s">
        <v>528</v>
      </c>
      <c r="B454" s="1" t="s">
        <v>41</v>
      </c>
      <c r="C454" s="1" t="s">
        <v>15</v>
      </c>
      <c r="D454" s="1" t="s">
        <v>16</v>
      </c>
      <c r="E454" s="1" t="s">
        <v>17</v>
      </c>
      <c r="F454" s="1" t="s">
        <v>18</v>
      </c>
      <c r="G454" s="1">
        <v>8</v>
      </c>
      <c r="H454" s="1">
        <f t="shared" si="14"/>
        <v>22507</v>
      </c>
      <c r="I454" s="1">
        <v>180056</v>
      </c>
      <c r="J454" s="6">
        <v>0.14999999999999997</v>
      </c>
      <c r="K454" s="7">
        <v>153047.6</v>
      </c>
      <c r="L454" s="1" t="s">
        <v>19</v>
      </c>
      <c r="M454" s="1" t="s">
        <v>26</v>
      </c>
      <c r="N454" s="3">
        <v>45278</v>
      </c>
      <c r="O454" s="3" t="str">
        <f t="shared" si="15"/>
        <v>Dec</v>
      </c>
      <c r="P454" s="12" t="s">
        <v>83</v>
      </c>
    </row>
    <row r="455" spans="1:16" x14ac:dyDescent="0.25">
      <c r="A455" s="11" t="s">
        <v>529</v>
      </c>
      <c r="B455" s="1" t="s">
        <v>119</v>
      </c>
      <c r="C455" s="2" t="s">
        <v>54</v>
      </c>
      <c r="D455" s="1" t="s">
        <v>29</v>
      </c>
      <c r="E455" s="1" t="s">
        <v>35</v>
      </c>
      <c r="F455" s="2" t="s">
        <v>108</v>
      </c>
      <c r="G455" s="1">
        <v>12</v>
      </c>
      <c r="H455" s="1">
        <f t="shared" si="14"/>
        <v>329685</v>
      </c>
      <c r="I455" s="2">
        <v>3956220</v>
      </c>
      <c r="J455" s="6">
        <v>0.05</v>
      </c>
      <c r="K455" s="8">
        <v>3758409</v>
      </c>
      <c r="L455" s="2" t="s">
        <v>37</v>
      </c>
      <c r="M455" s="2" t="s">
        <v>26</v>
      </c>
      <c r="N455" s="4">
        <v>45073</v>
      </c>
      <c r="O455" s="3" t="str">
        <f t="shared" si="15"/>
        <v>May</v>
      </c>
      <c r="P455" s="13" t="s">
        <v>45</v>
      </c>
    </row>
    <row r="456" spans="1:16" x14ac:dyDescent="0.25">
      <c r="A456" s="10" t="s">
        <v>530</v>
      </c>
      <c r="B456" s="1" t="s">
        <v>119</v>
      </c>
      <c r="C456" s="1" t="s">
        <v>28</v>
      </c>
      <c r="D456" s="1" t="s">
        <v>29</v>
      </c>
      <c r="E456" s="1" t="s">
        <v>30</v>
      </c>
      <c r="F456" s="1" t="s">
        <v>125</v>
      </c>
      <c r="G456" s="1">
        <v>12</v>
      </c>
      <c r="H456" s="1">
        <f t="shared" si="14"/>
        <v>16401</v>
      </c>
      <c r="I456" s="1">
        <v>196812</v>
      </c>
      <c r="J456" s="6">
        <v>0.14999999999999994</v>
      </c>
      <c r="K456" s="7">
        <v>167290.20000000001</v>
      </c>
      <c r="L456" s="1" t="s">
        <v>60</v>
      </c>
      <c r="M456" s="1" t="s">
        <v>20</v>
      </c>
      <c r="N456" s="3">
        <v>45280</v>
      </c>
      <c r="O456" s="3" t="str">
        <f t="shared" si="15"/>
        <v>Dec</v>
      </c>
      <c r="P456" s="12" t="s">
        <v>45</v>
      </c>
    </row>
    <row r="457" spans="1:16" x14ac:dyDescent="0.25">
      <c r="A457" s="11" t="s">
        <v>531</v>
      </c>
      <c r="B457" s="1" t="s">
        <v>157</v>
      </c>
      <c r="C457" s="2" t="s">
        <v>81</v>
      </c>
      <c r="D457" s="1" t="s">
        <v>29</v>
      </c>
      <c r="E457" s="1" t="s">
        <v>17</v>
      </c>
      <c r="F457" s="2" t="s">
        <v>73</v>
      </c>
      <c r="G457" s="1">
        <v>3</v>
      </c>
      <c r="H457" s="1">
        <f t="shared" si="14"/>
        <v>29561</v>
      </c>
      <c r="I457" s="2">
        <v>88683</v>
      </c>
      <c r="J457" s="6">
        <v>0.14999999999999997</v>
      </c>
      <c r="K457" s="8">
        <v>75380.55</v>
      </c>
      <c r="L457" s="2" t="s">
        <v>702</v>
      </c>
      <c r="M457" s="2" t="s">
        <v>64</v>
      </c>
      <c r="N457" s="4">
        <v>44929</v>
      </c>
      <c r="O457" s="3" t="str">
        <f t="shared" si="15"/>
        <v>Jan</v>
      </c>
      <c r="P457" s="13" t="s">
        <v>77</v>
      </c>
    </row>
    <row r="458" spans="1:16" x14ac:dyDescent="0.25">
      <c r="A458" s="10" t="s">
        <v>532</v>
      </c>
      <c r="B458" s="1" t="s">
        <v>85</v>
      </c>
      <c r="C458" s="1" t="s">
        <v>15</v>
      </c>
      <c r="D458" s="1" t="s">
        <v>16</v>
      </c>
      <c r="E458" s="1" t="s">
        <v>24</v>
      </c>
      <c r="F458" s="1" t="s">
        <v>71</v>
      </c>
      <c r="G458" s="1">
        <v>1</v>
      </c>
      <c r="H458" s="1">
        <f t="shared" si="14"/>
        <v>37075</v>
      </c>
      <c r="I458" s="1">
        <v>37075</v>
      </c>
      <c r="J458" s="6">
        <v>0.2</v>
      </c>
      <c r="K458" s="7">
        <v>29660</v>
      </c>
      <c r="L458" s="1" t="s">
        <v>60</v>
      </c>
      <c r="M458" s="1" t="s">
        <v>64</v>
      </c>
      <c r="N458" s="3">
        <v>45049</v>
      </c>
      <c r="O458" s="3" t="str">
        <f t="shared" si="15"/>
        <v>May</v>
      </c>
      <c r="P458" s="12" t="s">
        <v>39</v>
      </c>
    </row>
    <row r="459" spans="1:16" x14ac:dyDescent="0.25">
      <c r="A459" s="11" t="s">
        <v>533</v>
      </c>
      <c r="B459" s="1" t="s">
        <v>119</v>
      </c>
      <c r="C459" s="2" t="s">
        <v>63</v>
      </c>
      <c r="D459" s="1" t="s">
        <v>29</v>
      </c>
      <c r="E459" s="1" t="s">
        <v>30</v>
      </c>
      <c r="F459" s="2" t="s">
        <v>31</v>
      </c>
      <c r="G459" s="1">
        <v>20</v>
      </c>
      <c r="H459" s="1">
        <f t="shared" si="14"/>
        <v>313813</v>
      </c>
      <c r="I459" s="2">
        <v>6276260</v>
      </c>
      <c r="J459" s="6">
        <v>0.1</v>
      </c>
      <c r="K459" s="8">
        <v>5648634</v>
      </c>
      <c r="L459" s="2" t="s">
        <v>60</v>
      </c>
      <c r="M459" s="2" t="s">
        <v>38</v>
      </c>
      <c r="N459" s="4">
        <v>45246</v>
      </c>
      <c r="O459" s="3" t="str">
        <f t="shared" si="15"/>
        <v>Nov</v>
      </c>
      <c r="P459" s="13" t="s">
        <v>122</v>
      </c>
    </row>
    <row r="460" spans="1:16" x14ac:dyDescent="0.25">
      <c r="A460" s="10" t="s">
        <v>534</v>
      </c>
      <c r="B460" s="1" t="s">
        <v>23</v>
      </c>
      <c r="C460" s="1" t="s">
        <v>63</v>
      </c>
      <c r="D460" s="1" t="s">
        <v>29</v>
      </c>
      <c r="E460" s="1" t="s">
        <v>35</v>
      </c>
      <c r="F460" s="1" t="s">
        <v>68</v>
      </c>
      <c r="G460" s="1">
        <v>9</v>
      </c>
      <c r="H460" s="1">
        <f t="shared" si="14"/>
        <v>382318</v>
      </c>
      <c r="I460" s="1">
        <v>3440862</v>
      </c>
      <c r="J460" s="6">
        <v>0.14999999999999994</v>
      </c>
      <c r="K460" s="7">
        <v>2924732.7</v>
      </c>
      <c r="L460" s="1" t="s">
        <v>37</v>
      </c>
      <c r="M460" s="1" t="s">
        <v>26</v>
      </c>
      <c r="N460" s="3">
        <v>45112</v>
      </c>
      <c r="O460" s="3" t="str">
        <f t="shared" si="15"/>
        <v>Jul</v>
      </c>
      <c r="P460" s="12" t="s">
        <v>32</v>
      </c>
    </row>
    <row r="461" spans="1:16" x14ac:dyDescent="0.25">
      <c r="A461" s="11" t="s">
        <v>535</v>
      </c>
      <c r="B461" s="1" t="s">
        <v>90</v>
      </c>
      <c r="C461" s="2" t="s">
        <v>63</v>
      </c>
      <c r="D461" s="1" t="s">
        <v>29</v>
      </c>
      <c r="E461" s="1" t="s">
        <v>43</v>
      </c>
      <c r="F461" s="2" t="s">
        <v>98</v>
      </c>
      <c r="G461" s="1">
        <v>2</v>
      </c>
      <c r="H461" s="1">
        <f t="shared" si="14"/>
        <v>309794</v>
      </c>
      <c r="I461" s="2">
        <v>619588</v>
      </c>
      <c r="J461" s="6">
        <v>0.19999999999999996</v>
      </c>
      <c r="K461" s="8">
        <v>495670.4</v>
      </c>
      <c r="L461" s="2" t="s">
        <v>60</v>
      </c>
      <c r="M461" s="2" t="s">
        <v>20</v>
      </c>
      <c r="N461" s="4">
        <v>45192</v>
      </c>
      <c r="O461" s="3" t="str">
        <f t="shared" si="15"/>
        <v>Sep</v>
      </c>
      <c r="P461" s="13" t="s">
        <v>122</v>
      </c>
    </row>
    <row r="462" spans="1:16" x14ac:dyDescent="0.25">
      <c r="A462" s="10" t="s">
        <v>536</v>
      </c>
      <c r="B462" s="1" t="s">
        <v>80</v>
      </c>
      <c r="C462" s="1" t="s">
        <v>42</v>
      </c>
      <c r="D462" s="1" t="s">
        <v>29</v>
      </c>
      <c r="E462" s="1" t="s">
        <v>30</v>
      </c>
      <c r="F462" s="1" t="s">
        <v>31</v>
      </c>
      <c r="G462" s="1">
        <v>6</v>
      </c>
      <c r="H462" s="1">
        <f t="shared" si="14"/>
        <v>38438</v>
      </c>
      <c r="I462" s="1">
        <v>230628</v>
      </c>
      <c r="J462" s="6">
        <v>0</v>
      </c>
      <c r="K462" s="7">
        <v>230628</v>
      </c>
      <c r="L462" s="1" t="s">
        <v>49</v>
      </c>
      <c r="M462" s="1" t="s">
        <v>38</v>
      </c>
      <c r="N462" s="3">
        <v>45277</v>
      </c>
      <c r="O462" s="3" t="str">
        <f t="shared" si="15"/>
        <v>Dec</v>
      </c>
      <c r="P462" s="12" t="s">
        <v>39</v>
      </c>
    </row>
    <row r="463" spans="1:16" x14ac:dyDescent="0.25">
      <c r="A463" s="11" t="s">
        <v>537</v>
      </c>
      <c r="B463" s="1" t="s">
        <v>702</v>
      </c>
      <c r="C463" s="2" t="s">
        <v>54</v>
      </c>
      <c r="D463" s="1" t="s">
        <v>29</v>
      </c>
      <c r="E463" s="1" t="s">
        <v>30</v>
      </c>
      <c r="F463" s="2" t="s">
        <v>31</v>
      </c>
      <c r="G463" s="1">
        <v>5</v>
      </c>
      <c r="H463" s="1">
        <f t="shared" si="14"/>
        <v>182523</v>
      </c>
      <c r="I463" s="2">
        <v>912615</v>
      </c>
      <c r="J463" s="6">
        <v>0.1</v>
      </c>
      <c r="K463" s="8">
        <v>821353.5</v>
      </c>
      <c r="L463" s="2" t="s">
        <v>49</v>
      </c>
      <c r="M463" s="2" t="s">
        <v>20</v>
      </c>
      <c r="N463" s="4">
        <v>45024</v>
      </c>
      <c r="O463" s="3" t="str">
        <f t="shared" si="15"/>
        <v>Apr</v>
      </c>
      <c r="P463" s="13" t="s">
        <v>74</v>
      </c>
    </row>
    <row r="464" spans="1:16" x14ac:dyDescent="0.25">
      <c r="A464" s="10" t="s">
        <v>538</v>
      </c>
      <c r="B464" s="1" t="s">
        <v>119</v>
      </c>
      <c r="C464" s="1" t="s">
        <v>58</v>
      </c>
      <c r="D464" s="1" t="s">
        <v>212</v>
      </c>
      <c r="E464" s="1" t="s">
        <v>43</v>
      </c>
      <c r="F464" s="1" t="s">
        <v>44</v>
      </c>
      <c r="G464" s="1">
        <v>18</v>
      </c>
      <c r="H464" s="1">
        <f t="shared" si="14"/>
        <v>490420</v>
      </c>
      <c r="I464" s="1">
        <v>8827560</v>
      </c>
      <c r="J464" s="6">
        <v>0</v>
      </c>
      <c r="K464" s="7">
        <v>8827560</v>
      </c>
      <c r="L464" s="1" t="s">
        <v>19</v>
      </c>
      <c r="M464" s="1" t="s">
        <v>26</v>
      </c>
      <c r="N464" s="3">
        <v>45037</v>
      </c>
      <c r="O464" s="3" t="str">
        <f t="shared" si="15"/>
        <v>Apr</v>
      </c>
      <c r="P464" s="12" t="s">
        <v>74</v>
      </c>
    </row>
    <row r="465" spans="1:16" x14ac:dyDescent="0.25">
      <c r="A465" s="11" t="s">
        <v>539</v>
      </c>
      <c r="B465" s="1" t="s">
        <v>34</v>
      </c>
      <c r="C465" s="2" t="s">
        <v>63</v>
      </c>
      <c r="D465" s="1" t="s">
        <v>29</v>
      </c>
      <c r="E465" s="1" t="s">
        <v>35</v>
      </c>
      <c r="F465" s="2" t="s">
        <v>108</v>
      </c>
      <c r="G465" s="1">
        <v>13</v>
      </c>
      <c r="H465" s="1">
        <f t="shared" si="14"/>
        <v>348843</v>
      </c>
      <c r="I465" s="2">
        <v>4534959</v>
      </c>
      <c r="J465" s="6">
        <v>0.15000000000000002</v>
      </c>
      <c r="K465" s="8">
        <v>3854715.15</v>
      </c>
      <c r="L465" s="2" t="s">
        <v>49</v>
      </c>
      <c r="M465" s="2" t="s">
        <v>64</v>
      </c>
      <c r="N465" s="4">
        <v>45089</v>
      </c>
      <c r="O465" s="3" t="str">
        <f t="shared" si="15"/>
        <v>Jun</v>
      </c>
      <c r="P465" s="13" t="s">
        <v>55</v>
      </c>
    </row>
    <row r="466" spans="1:16" x14ac:dyDescent="0.25">
      <c r="A466" s="10" t="s">
        <v>540</v>
      </c>
      <c r="B466" s="1" t="s">
        <v>119</v>
      </c>
      <c r="C466" s="1" t="s">
        <v>63</v>
      </c>
      <c r="D466" s="1" t="s">
        <v>29</v>
      </c>
      <c r="E466" s="1" t="s">
        <v>43</v>
      </c>
      <c r="F466" s="1" t="s">
        <v>98</v>
      </c>
      <c r="G466" s="1">
        <v>17</v>
      </c>
      <c r="H466" s="1">
        <f t="shared" si="14"/>
        <v>356737</v>
      </c>
      <c r="I466" s="1">
        <v>6064529</v>
      </c>
      <c r="J466" s="6">
        <v>0.14999999999999994</v>
      </c>
      <c r="K466" s="7">
        <v>5154849.6500000004</v>
      </c>
      <c r="L466" s="1" t="s">
        <v>37</v>
      </c>
      <c r="M466" s="1" t="s">
        <v>38</v>
      </c>
      <c r="N466" s="3">
        <v>44975</v>
      </c>
      <c r="O466" s="3" t="str">
        <f t="shared" si="15"/>
        <v>Feb</v>
      </c>
      <c r="P466" s="12" t="s">
        <v>39</v>
      </c>
    </row>
    <row r="467" spans="1:16" x14ac:dyDescent="0.25">
      <c r="A467" s="11" t="s">
        <v>541</v>
      </c>
      <c r="B467" s="1" t="s">
        <v>76</v>
      </c>
      <c r="C467" s="2" t="s">
        <v>54</v>
      </c>
      <c r="D467" s="1" t="s">
        <v>29</v>
      </c>
      <c r="E467" s="1" t="s">
        <v>30</v>
      </c>
      <c r="F467" s="2" t="s">
        <v>31</v>
      </c>
      <c r="G467" s="1">
        <v>15</v>
      </c>
      <c r="H467" s="1">
        <f t="shared" si="14"/>
        <v>237286</v>
      </c>
      <c r="I467" s="2">
        <v>3559290</v>
      </c>
      <c r="J467" s="6">
        <v>0.15</v>
      </c>
      <c r="K467" s="8">
        <v>3025396.5</v>
      </c>
      <c r="L467" s="2" t="s">
        <v>49</v>
      </c>
      <c r="M467" s="2" t="s">
        <v>38</v>
      </c>
      <c r="N467" s="4">
        <v>45165</v>
      </c>
      <c r="O467" s="3" t="str">
        <f t="shared" si="15"/>
        <v>Aug</v>
      </c>
      <c r="P467" s="13" t="s">
        <v>83</v>
      </c>
    </row>
    <row r="468" spans="1:16" x14ac:dyDescent="0.25">
      <c r="A468" s="10" t="s">
        <v>542</v>
      </c>
      <c r="B468" s="1" t="s">
        <v>67</v>
      </c>
      <c r="C468" s="1" t="s">
        <v>81</v>
      </c>
      <c r="D468" s="1" t="s">
        <v>29</v>
      </c>
      <c r="E468" s="1" t="s">
        <v>35</v>
      </c>
      <c r="F468" s="1" t="s">
        <v>98</v>
      </c>
      <c r="G468" s="1">
        <v>2</v>
      </c>
      <c r="H468" s="1">
        <f t="shared" si="14"/>
        <v>52307</v>
      </c>
      <c r="I468" s="1">
        <v>104614</v>
      </c>
      <c r="J468" s="6">
        <v>0.20000000000000004</v>
      </c>
      <c r="K468" s="7">
        <v>83691.199999999997</v>
      </c>
      <c r="L468" s="1" t="s">
        <v>49</v>
      </c>
      <c r="M468" s="1" t="s">
        <v>20</v>
      </c>
      <c r="N468" s="3">
        <v>44966</v>
      </c>
      <c r="O468" s="3" t="str">
        <f t="shared" si="15"/>
        <v>Feb</v>
      </c>
      <c r="P468" s="12" t="s">
        <v>55</v>
      </c>
    </row>
    <row r="469" spans="1:16" x14ac:dyDescent="0.25">
      <c r="A469" s="11" t="s">
        <v>543</v>
      </c>
      <c r="B469" s="1" t="s">
        <v>114</v>
      </c>
      <c r="C469" s="2" t="s">
        <v>47</v>
      </c>
      <c r="D469" s="1" t="s">
        <v>16</v>
      </c>
      <c r="E469" s="1" t="s">
        <v>35</v>
      </c>
      <c r="F469" s="2" t="s">
        <v>108</v>
      </c>
      <c r="G469" s="1">
        <v>1</v>
      </c>
      <c r="H469" s="1">
        <f t="shared" si="14"/>
        <v>37613</v>
      </c>
      <c r="I469" s="2">
        <v>37613</v>
      </c>
      <c r="J469" s="6">
        <v>5.0000000000000037E-2</v>
      </c>
      <c r="K469" s="8">
        <v>35732.35</v>
      </c>
      <c r="L469" s="2" t="s">
        <v>60</v>
      </c>
      <c r="M469" s="2" t="s">
        <v>64</v>
      </c>
      <c r="N469" s="4">
        <v>45124</v>
      </c>
      <c r="O469" s="3" t="str">
        <f t="shared" si="15"/>
        <v>Jul</v>
      </c>
      <c r="P469" s="13" t="s">
        <v>74</v>
      </c>
    </row>
    <row r="470" spans="1:16" x14ac:dyDescent="0.25">
      <c r="A470" s="10" t="s">
        <v>544</v>
      </c>
      <c r="B470" s="1" t="s">
        <v>41</v>
      </c>
      <c r="C470" s="1" t="s">
        <v>58</v>
      </c>
      <c r="D470" s="1" t="s">
        <v>29</v>
      </c>
      <c r="E470" s="1" t="s">
        <v>24</v>
      </c>
      <c r="F470" s="1" t="s">
        <v>25</v>
      </c>
      <c r="G470" s="1">
        <v>7</v>
      </c>
      <c r="H470" s="1">
        <f t="shared" si="14"/>
        <v>333173</v>
      </c>
      <c r="I470" s="1">
        <v>2332211</v>
      </c>
      <c r="J470" s="6">
        <v>0.10000000000000003</v>
      </c>
      <c r="K470" s="7">
        <v>2098989.9</v>
      </c>
      <c r="L470" s="1" t="s">
        <v>49</v>
      </c>
      <c r="M470" s="1" t="s">
        <v>38</v>
      </c>
      <c r="N470" s="3">
        <v>45112</v>
      </c>
      <c r="O470" s="3" t="str">
        <f t="shared" si="15"/>
        <v>Jul</v>
      </c>
      <c r="P470" s="12" t="s">
        <v>21</v>
      </c>
    </row>
    <row r="471" spans="1:16" x14ac:dyDescent="0.25">
      <c r="A471" s="11" t="s">
        <v>545</v>
      </c>
      <c r="B471" s="1" t="s">
        <v>107</v>
      </c>
      <c r="C471" s="2" t="s">
        <v>63</v>
      </c>
      <c r="D471" s="1" t="s">
        <v>29</v>
      </c>
      <c r="E471" s="1" t="s">
        <v>43</v>
      </c>
      <c r="F471" s="2" t="s">
        <v>142</v>
      </c>
      <c r="G471" s="1">
        <v>12</v>
      </c>
      <c r="H471" s="1">
        <f t="shared" si="14"/>
        <v>440739</v>
      </c>
      <c r="I471" s="2">
        <v>5288868</v>
      </c>
      <c r="J471" s="6">
        <v>0</v>
      </c>
      <c r="K471" s="8">
        <v>5288868</v>
      </c>
      <c r="L471" s="2" t="s">
        <v>19</v>
      </c>
      <c r="M471" s="2" t="s">
        <v>64</v>
      </c>
      <c r="N471" s="4">
        <v>45172</v>
      </c>
      <c r="O471" s="3" t="str">
        <f t="shared" si="15"/>
        <v>Sep</v>
      </c>
      <c r="P471" s="13" t="s">
        <v>83</v>
      </c>
    </row>
    <row r="472" spans="1:16" x14ac:dyDescent="0.25">
      <c r="A472" s="10" t="s">
        <v>546</v>
      </c>
      <c r="B472" s="1" t="s">
        <v>107</v>
      </c>
      <c r="C472" s="1" t="s">
        <v>70</v>
      </c>
      <c r="D472" s="1" t="s">
        <v>16</v>
      </c>
      <c r="E472" s="1" t="s">
        <v>30</v>
      </c>
      <c r="F472" s="1" t="s">
        <v>59</v>
      </c>
      <c r="G472" s="1">
        <v>15</v>
      </c>
      <c r="H472" s="1">
        <f t="shared" si="14"/>
        <v>52600</v>
      </c>
      <c r="I472" s="1">
        <v>789000</v>
      </c>
      <c r="J472" s="6">
        <v>0.2</v>
      </c>
      <c r="K472" s="7">
        <v>631200</v>
      </c>
      <c r="L472" s="1" t="s">
        <v>37</v>
      </c>
      <c r="M472" s="1" t="s">
        <v>38</v>
      </c>
      <c r="N472" s="3">
        <v>45013</v>
      </c>
      <c r="O472" s="3" t="str">
        <f t="shared" si="15"/>
        <v>Mar</v>
      </c>
      <c r="P472" s="12" t="s">
        <v>39</v>
      </c>
    </row>
    <row r="473" spans="1:16" x14ac:dyDescent="0.25">
      <c r="A473" s="11" t="s">
        <v>547</v>
      </c>
      <c r="B473" s="1" t="s">
        <v>53</v>
      </c>
      <c r="C473" s="2" t="s">
        <v>42</v>
      </c>
      <c r="D473" s="1" t="s">
        <v>29</v>
      </c>
      <c r="E473" s="1" t="s">
        <v>17</v>
      </c>
      <c r="F473" s="2" t="s">
        <v>18</v>
      </c>
      <c r="G473" s="1">
        <v>17</v>
      </c>
      <c r="H473" s="1">
        <f t="shared" si="14"/>
        <v>11019</v>
      </c>
      <c r="I473" s="2">
        <v>187323</v>
      </c>
      <c r="J473" s="6">
        <v>0.15000000000000005</v>
      </c>
      <c r="K473" s="8">
        <v>159224.54999999999</v>
      </c>
      <c r="L473" s="2" t="s">
        <v>19</v>
      </c>
      <c r="M473" s="2" t="s">
        <v>20</v>
      </c>
      <c r="N473" s="4">
        <v>44991</v>
      </c>
      <c r="O473" s="3" t="str">
        <f t="shared" si="15"/>
        <v>Mar</v>
      </c>
      <c r="P473" s="13" t="s">
        <v>32</v>
      </c>
    </row>
    <row r="474" spans="1:16" x14ac:dyDescent="0.25">
      <c r="A474" s="10" t="s">
        <v>548</v>
      </c>
      <c r="B474" s="1" t="s">
        <v>92</v>
      </c>
      <c r="C474" s="1" t="s">
        <v>70</v>
      </c>
      <c r="D474" s="1" t="s">
        <v>16</v>
      </c>
      <c r="E474" s="1" t="s">
        <v>30</v>
      </c>
      <c r="F474" s="1" t="s">
        <v>125</v>
      </c>
      <c r="G474" s="1">
        <v>4</v>
      </c>
      <c r="H474" s="1">
        <f t="shared" si="14"/>
        <v>76550</v>
      </c>
      <c r="I474" s="1">
        <v>306200</v>
      </c>
      <c r="J474" s="6">
        <v>0.05</v>
      </c>
      <c r="K474" s="7">
        <v>290890</v>
      </c>
      <c r="L474" s="1" t="s">
        <v>702</v>
      </c>
      <c r="M474" s="1" t="s">
        <v>38</v>
      </c>
      <c r="N474" s="3">
        <v>44991</v>
      </c>
      <c r="O474" s="3" t="str">
        <f t="shared" si="15"/>
        <v>Mar</v>
      </c>
      <c r="P474" s="12" t="s">
        <v>55</v>
      </c>
    </row>
    <row r="475" spans="1:16" x14ac:dyDescent="0.25">
      <c r="A475" s="11" t="s">
        <v>549</v>
      </c>
      <c r="B475" s="1" t="s">
        <v>157</v>
      </c>
      <c r="C475" s="2" t="s">
        <v>63</v>
      </c>
      <c r="D475" s="1" t="s">
        <v>212</v>
      </c>
      <c r="E475" s="1" t="s">
        <v>17</v>
      </c>
      <c r="F475" s="2" t="s">
        <v>18</v>
      </c>
      <c r="G475" s="1">
        <v>16</v>
      </c>
      <c r="H475" s="1">
        <f t="shared" si="14"/>
        <v>470483</v>
      </c>
      <c r="I475" s="2">
        <v>7527728</v>
      </c>
      <c r="J475" s="6">
        <v>0</v>
      </c>
      <c r="K475" s="8">
        <v>7527728</v>
      </c>
      <c r="L475" s="2" t="s">
        <v>60</v>
      </c>
      <c r="M475" s="2" t="s">
        <v>26</v>
      </c>
      <c r="N475" s="4">
        <v>45151</v>
      </c>
      <c r="O475" s="3" t="str">
        <f t="shared" si="15"/>
        <v>Aug</v>
      </c>
      <c r="P475" s="13" t="s">
        <v>122</v>
      </c>
    </row>
    <row r="476" spans="1:16" x14ac:dyDescent="0.25">
      <c r="A476" s="10" t="s">
        <v>550</v>
      </c>
      <c r="B476" s="1" t="s">
        <v>92</v>
      </c>
      <c r="C476" s="1" t="s">
        <v>42</v>
      </c>
      <c r="D476" s="1" t="s">
        <v>29</v>
      </c>
      <c r="E476" s="1" t="s">
        <v>35</v>
      </c>
      <c r="F476" s="1" t="s">
        <v>36</v>
      </c>
      <c r="G476" s="1">
        <v>12</v>
      </c>
      <c r="H476" s="1">
        <f t="shared" si="14"/>
        <v>36186</v>
      </c>
      <c r="I476" s="1">
        <v>434232</v>
      </c>
      <c r="J476" s="6">
        <v>0.20000000000000007</v>
      </c>
      <c r="K476" s="7">
        <v>347385.59999999998</v>
      </c>
      <c r="L476" s="1" t="s">
        <v>60</v>
      </c>
      <c r="M476" s="1" t="s">
        <v>20</v>
      </c>
      <c r="N476" s="3">
        <v>45047</v>
      </c>
      <c r="O476" s="3" t="str">
        <f t="shared" si="15"/>
        <v>May</v>
      </c>
      <c r="P476" s="12" t="s">
        <v>45</v>
      </c>
    </row>
    <row r="477" spans="1:16" x14ac:dyDescent="0.25">
      <c r="A477" s="11" t="s">
        <v>551</v>
      </c>
      <c r="B477" s="1" t="s">
        <v>76</v>
      </c>
      <c r="C477" s="2" t="s">
        <v>28</v>
      </c>
      <c r="D477" s="1" t="s">
        <v>29</v>
      </c>
      <c r="E477" s="1" t="s">
        <v>43</v>
      </c>
      <c r="F477" s="2" t="s">
        <v>142</v>
      </c>
      <c r="G477" s="1">
        <v>17</v>
      </c>
      <c r="H477" s="1">
        <f t="shared" si="14"/>
        <v>20182</v>
      </c>
      <c r="I477" s="2">
        <v>343094</v>
      </c>
      <c r="J477" s="6">
        <v>0</v>
      </c>
      <c r="K477" s="8">
        <v>343094</v>
      </c>
      <c r="L477" s="2" t="s">
        <v>49</v>
      </c>
      <c r="M477" s="2" t="s">
        <v>20</v>
      </c>
      <c r="N477" s="4">
        <v>44965</v>
      </c>
      <c r="O477" s="3" t="str">
        <f t="shared" si="15"/>
        <v>Feb</v>
      </c>
      <c r="P477" s="13" t="s">
        <v>55</v>
      </c>
    </row>
    <row r="478" spans="1:16" x14ac:dyDescent="0.25">
      <c r="A478" s="10" t="s">
        <v>552</v>
      </c>
      <c r="B478" s="1" t="s">
        <v>107</v>
      </c>
      <c r="C478" s="1" t="s">
        <v>51</v>
      </c>
      <c r="D478" s="1" t="s">
        <v>16</v>
      </c>
      <c r="E478" s="1" t="s">
        <v>30</v>
      </c>
      <c r="F478" s="1" t="s">
        <v>59</v>
      </c>
      <c r="G478" s="1">
        <v>12</v>
      </c>
      <c r="H478" s="1">
        <f t="shared" si="14"/>
        <v>44626</v>
      </c>
      <c r="I478" s="1">
        <v>535512</v>
      </c>
      <c r="J478" s="6">
        <v>4.9999999999999954E-2</v>
      </c>
      <c r="K478" s="7">
        <v>508736.4</v>
      </c>
      <c r="L478" s="1" t="s">
        <v>702</v>
      </c>
      <c r="M478" s="1" t="s">
        <v>20</v>
      </c>
      <c r="N478" s="3">
        <v>45134</v>
      </c>
      <c r="O478" s="3" t="str">
        <f t="shared" si="15"/>
        <v>Jul</v>
      </c>
      <c r="P478" s="12" t="s">
        <v>39</v>
      </c>
    </row>
    <row r="479" spans="1:16" x14ac:dyDescent="0.25">
      <c r="A479" s="11" t="s">
        <v>553</v>
      </c>
      <c r="B479" s="1" t="s">
        <v>67</v>
      </c>
      <c r="C479" s="2" t="s">
        <v>42</v>
      </c>
      <c r="D479" s="1" t="s">
        <v>29</v>
      </c>
      <c r="E479" s="1" t="s">
        <v>30</v>
      </c>
      <c r="F479" s="2" t="s">
        <v>59</v>
      </c>
      <c r="G479" s="1">
        <v>12</v>
      </c>
      <c r="H479" s="1">
        <f t="shared" si="14"/>
        <v>42079</v>
      </c>
      <c r="I479" s="2">
        <v>504948</v>
      </c>
      <c r="J479" s="6">
        <v>0.15000000000000002</v>
      </c>
      <c r="K479" s="8">
        <v>429205.8</v>
      </c>
      <c r="L479" s="2" t="s">
        <v>49</v>
      </c>
      <c r="M479" s="2" t="s">
        <v>20</v>
      </c>
      <c r="N479" s="4">
        <v>45232</v>
      </c>
      <c r="O479" s="3" t="str">
        <f t="shared" si="15"/>
        <v>Nov</v>
      </c>
      <c r="P479" s="13" t="s">
        <v>55</v>
      </c>
    </row>
    <row r="480" spans="1:16" x14ac:dyDescent="0.25">
      <c r="A480" s="10" t="s">
        <v>554</v>
      </c>
      <c r="B480" s="1" t="s">
        <v>90</v>
      </c>
      <c r="C480" s="1" t="s">
        <v>15</v>
      </c>
      <c r="D480" s="1" t="s">
        <v>16</v>
      </c>
      <c r="E480" s="1" t="s">
        <v>35</v>
      </c>
      <c r="F480" s="1" t="s">
        <v>36</v>
      </c>
      <c r="G480" s="1">
        <v>13</v>
      </c>
      <c r="H480" s="1">
        <f t="shared" si="14"/>
        <v>17972</v>
      </c>
      <c r="I480" s="1">
        <v>233636</v>
      </c>
      <c r="J480" s="6">
        <v>4.9999999999999947E-2</v>
      </c>
      <c r="K480" s="7">
        <v>221954.2</v>
      </c>
      <c r="L480" s="1" t="s">
        <v>19</v>
      </c>
      <c r="M480" s="1" t="s">
        <v>26</v>
      </c>
      <c r="N480" s="3">
        <v>45027</v>
      </c>
      <c r="O480" s="3" t="str">
        <f t="shared" si="15"/>
        <v>Apr</v>
      </c>
      <c r="P480" s="12" t="s">
        <v>83</v>
      </c>
    </row>
    <row r="481" spans="1:16" x14ac:dyDescent="0.25">
      <c r="A481" s="11" t="s">
        <v>555</v>
      </c>
      <c r="B481" s="1" t="s">
        <v>92</v>
      </c>
      <c r="C481" s="2" t="s">
        <v>42</v>
      </c>
      <c r="D481" s="1" t="s">
        <v>29</v>
      </c>
      <c r="E481" s="1" t="s">
        <v>43</v>
      </c>
      <c r="F481" s="2" t="s">
        <v>98</v>
      </c>
      <c r="G481" s="1">
        <v>7</v>
      </c>
      <c r="H481" s="1">
        <f t="shared" si="14"/>
        <v>51507</v>
      </c>
      <c r="I481" s="2">
        <v>360549</v>
      </c>
      <c r="J481" s="6">
        <v>0.10000000000000006</v>
      </c>
      <c r="K481" s="8">
        <v>324494.09999999998</v>
      </c>
      <c r="L481" s="2" t="s">
        <v>19</v>
      </c>
      <c r="M481" s="2" t="s">
        <v>64</v>
      </c>
      <c r="N481" s="4">
        <v>45116</v>
      </c>
      <c r="O481" s="3" t="str">
        <f t="shared" si="15"/>
        <v>Jul</v>
      </c>
      <c r="P481" s="13" t="s">
        <v>55</v>
      </c>
    </row>
    <row r="482" spans="1:16" x14ac:dyDescent="0.25">
      <c r="A482" s="10" t="s">
        <v>556</v>
      </c>
      <c r="B482" s="1" t="s">
        <v>103</v>
      </c>
      <c r="C482" s="1" t="s">
        <v>42</v>
      </c>
      <c r="D482" s="1" t="s">
        <v>29</v>
      </c>
      <c r="E482" s="1" t="s">
        <v>35</v>
      </c>
      <c r="F482" s="1" t="s">
        <v>68</v>
      </c>
      <c r="G482" s="1">
        <v>4</v>
      </c>
      <c r="H482" s="1">
        <f t="shared" si="14"/>
        <v>60724</v>
      </c>
      <c r="I482" s="1">
        <v>242896</v>
      </c>
      <c r="J482" s="6">
        <v>4.9999999999999954E-2</v>
      </c>
      <c r="K482" s="7">
        <v>230751.2</v>
      </c>
      <c r="L482" s="1" t="s">
        <v>37</v>
      </c>
      <c r="M482" s="1" t="s">
        <v>64</v>
      </c>
      <c r="N482" s="3">
        <v>45147</v>
      </c>
      <c r="O482" s="3" t="str">
        <f t="shared" si="15"/>
        <v>Aug</v>
      </c>
      <c r="P482" s="12" t="s">
        <v>55</v>
      </c>
    </row>
    <row r="483" spans="1:16" x14ac:dyDescent="0.25">
      <c r="A483" s="11" t="s">
        <v>557</v>
      </c>
      <c r="B483" s="1" t="s">
        <v>157</v>
      </c>
      <c r="C483" s="2" t="s">
        <v>54</v>
      </c>
      <c r="D483" s="1" t="s">
        <v>29</v>
      </c>
      <c r="E483" s="1" t="s">
        <v>43</v>
      </c>
      <c r="F483" s="2" t="s">
        <v>98</v>
      </c>
      <c r="G483" s="1">
        <v>3</v>
      </c>
      <c r="H483" s="1">
        <f t="shared" si="14"/>
        <v>181411</v>
      </c>
      <c r="I483" s="2">
        <v>544233</v>
      </c>
      <c r="J483" s="6">
        <v>5.0000000000000044E-2</v>
      </c>
      <c r="K483" s="8">
        <v>517021.35</v>
      </c>
      <c r="L483" s="2" t="s">
        <v>37</v>
      </c>
      <c r="M483" s="2" t="s">
        <v>26</v>
      </c>
      <c r="N483" s="4">
        <v>45234</v>
      </c>
      <c r="O483" s="3" t="str">
        <f t="shared" si="15"/>
        <v>Nov</v>
      </c>
      <c r="P483" s="13" t="s">
        <v>74</v>
      </c>
    </row>
    <row r="484" spans="1:16" x14ac:dyDescent="0.25">
      <c r="A484" s="10" t="s">
        <v>558</v>
      </c>
      <c r="B484" s="1" t="s">
        <v>80</v>
      </c>
      <c r="C484" s="1" t="s">
        <v>42</v>
      </c>
      <c r="D484" s="1" t="s">
        <v>29</v>
      </c>
      <c r="E484" s="1" t="s">
        <v>17</v>
      </c>
      <c r="F484" s="1" t="s">
        <v>73</v>
      </c>
      <c r="G484" s="1">
        <v>7</v>
      </c>
      <c r="H484" s="1">
        <f t="shared" si="14"/>
        <v>68464</v>
      </c>
      <c r="I484" s="1">
        <v>479248</v>
      </c>
      <c r="J484" s="6">
        <v>9.9999999999999978E-2</v>
      </c>
      <c r="K484" s="7">
        <v>431323.2</v>
      </c>
      <c r="L484" s="1" t="s">
        <v>19</v>
      </c>
      <c r="M484" s="1" t="s">
        <v>64</v>
      </c>
      <c r="N484" s="3">
        <v>45203</v>
      </c>
      <c r="O484" s="3" t="str">
        <f t="shared" si="15"/>
        <v>Oct</v>
      </c>
      <c r="P484" s="12" t="s">
        <v>122</v>
      </c>
    </row>
    <row r="485" spans="1:16" x14ac:dyDescent="0.25">
      <c r="A485" s="11" t="s">
        <v>559</v>
      </c>
      <c r="B485" s="1" t="s">
        <v>702</v>
      </c>
      <c r="C485" s="2" t="s">
        <v>63</v>
      </c>
      <c r="D485" s="1" t="s">
        <v>29</v>
      </c>
      <c r="E485" s="1" t="s">
        <v>35</v>
      </c>
      <c r="F485" s="2" t="s">
        <v>108</v>
      </c>
      <c r="G485" s="1">
        <v>8</v>
      </c>
      <c r="H485" s="1">
        <f t="shared" si="14"/>
        <v>174107</v>
      </c>
      <c r="I485" s="2">
        <v>1392856</v>
      </c>
      <c r="J485" s="6">
        <v>0.14999999999999994</v>
      </c>
      <c r="K485" s="8">
        <v>1183927.6000000001</v>
      </c>
      <c r="L485" s="2" t="s">
        <v>60</v>
      </c>
      <c r="M485" s="2" t="s">
        <v>38</v>
      </c>
      <c r="N485" s="4">
        <v>44944</v>
      </c>
      <c r="O485" s="3" t="str">
        <f t="shared" si="15"/>
        <v>Jan</v>
      </c>
      <c r="P485" s="13" t="s">
        <v>45</v>
      </c>
    </row>
    <row r="486" spans="1:16" x14ac:dyDescent="0.25">
      <c r="A486" s="10" t="s">
        <v>560</v>
      </c>
      <c r="B486" s="1" t="s">
        <v>157</v>
      </c>
      <c r="C486" s="1" t="s">
        <v>51</v>
      </c>
      <c r="D486" s="1" t="s">
        <v>16</v>
      </c>
      <c r="E486" s="1" t="s">
        <v>30</v>
      </c>
      <c r="F486" s="1" t="s">
        <v>59</v>
      </c>
      <c r="G486" s="1">
        <v>18</v>
      </c>
      <c r="H486" s="1">
        <f t="shared" si="14"/>
        <v>76228</v>
      </c>
      <c r="I486" s="1">
        <v>1372104</v>
      </c>
      <c r="J486" s="6">
        <v>0.15000000000000008</v>
      </c>
      <c r="K486" s="7">
        <v>1166288.3999999999</v>
      </c>
      <c r="L486" s="1" t="s">
        <v>60</v>
      </c>
      <c r="M486" s="1" t="s">
        <v>38</v>
      </c>
      <c r="N486" s="3">
        <v>45212</v>
      </c>
      <c r="O486" s="3" t="str">
        <f t="shared" si="15"/>
        <v>Oct</v>
      </c>
      <c r="P486" s="12" t="s">
        <v>122</v>
      </c>
    </row>
    <row r="487" spans="1:16" x14ac:dyDescent="0.25">
      <c r="A487" s="11" t="s">
        <v>561</v>
      </c>
      <c r="B487" s="1" t="s">
        <v>114</v>
      </c>
      <c r="C487" s="2" t="s">
        <v>58</v>
      </c>
      <c r="D487" s="1" t="s">
        <v>29</v>
      </c>
      <c r="E487" s="1" t="s">
        <v>24</v>
      </c>
      <c r="F487" s="2" t="s">
        <v>25</v>
      </c>
      <c r="G487" s="1">
        <v>3</v>
      </c>
      <c r="H487" s="1">
        <f t="shared" si="14"/>
        <v>207341</v>
      </c>
      <c r="I487" s="2">
        <v>622023</v>
      </c>
      <c r="J487" s="6">
        <v>5.0000000000000037E-2</v>
      </c>
      <c r="K487" s="8">
        <v>590921.85</v>
      </c>
      <c r="L487" s="2" t="s">
        <v>49</v>
      </c>
      <c r="M487" s="2" t="s">
        <v>26</v>
      </c>
      <c r="N487" s="4">
        <v>45103</v>
      </c>
      <c r="O487" s="3" t="str">
        <f t="shared" si="15"/>
        <v>Jun</v>
      </c>
      <c r="P487" s="13" t="s">
        <v>45</v>
      </c>
    </row>
    <row r="488" spans="1:16" x14ac:dyDescent="0.25">
      <c r="A488" s="10" t="s">
        <v>562</v>
      </c>
      <c r="B488" s="1" t="s">
        <v>90</v>
      </c>
      <c r="C488" s="1" t="s">
        <v>70</v>
      </c>
      <c r="D488" s="1" t="s">
        <v>16</v>
      </c>
      <c r="E488" s="1" t="s">
        <v>43</v>
      </c>
      <c r="F488" s="1" t="s">
        <v>98</v>
      </c>
      <c r="G488" s="1">
        <v>12</v>
      </c>
      <c r="H488" s="1">
        <f t="shared" si="14"/>
        <v>24198</v>
      </c>
      <c r="I488" s="1">
        <v>290376</v>
      </c>
      <c r="J488" s="6">
        <v>0.10000000000000002</v>
      </c>
      <c r="K488" s="7">
        <v>261338.4</v>
      </c>
      <c r="L488" s="1" t="s">
        <v>49</v>
      </c>
      <c r="M488" s="1" t="s">
        <v>20</v>
      </c>
      <c r="N488" s="3">
        <f>N487</f>
        <v>45103</v>
      </c>
      <c r="O488" s="3" t="str">
        <f t="shared" si="15"/>
        <v>Jun</v>
      </c>
      <c r="P488" s="12" t="s">
        <v>65</v>
      </c>
    </row>
    <row r="489" spans="1:16" x14ac:dyDescent="0.25">
      <c r="A489" s="11" t="s">
        <v>563</v>
      </c>
      <c r="B489" s="1" t="s">
        <v>101</v>
      </c>
      <c r="C489" s="2" t="s">
        <v>54</v>
      </c>
      <c r="D489" s="1" t="s">
        <v>29</v>
      </c>
      <c r="E489" s="1" t="s">
        <v>24</v>
      </c>
      <c r="F489" s="2" t="s">
        <v>71</v>
      </c>
      <c r="G489" s="1">
        <v>12</v>
      </c>
      <c r="H489" s="1">
        <f t="shared" si="14"/>
        <v>365424</v>
      </c>
      <c r="I489" s="2">
        <v>4385088</v>
      </c>
      <c r="J489" s="6">
        <v>9.9999999999999964E-2</v>
      </c>
      <c r="K489" s="8">
        <v>3946579.2</v>
      </c>
      <c r="L489" s="2" t="s">
        <v>37</v>
      </c>
      <c r="M489" s="2" t="s">
        <v>26</v>
      </c>
      <c r="N489" s="4">
        <v>45078</v>
      </c>
      <c r="O489" s="3" t="str">
        <f t="shared" si="15"/>
        <v>Jun</v>
      </c>
      <c r="P489" s="13" t="s">
        <v>65</v>
      </c>
    </row>
    <row r="490" spans="1:16" x14ac:dyDescent="0.25">
      <c r="A490" s="10" t="s">
        <v>564</v>
      </c>
      <c r="B490" s="1" t="s">
        <v>85</v>
      </c>
      <c r="C490" s="1" t="s">
        <v>28</v>
      </c>
      <c r="D490" s="1" t="s">
        <v>29</v>
      </c>
      <c r="E490" s="1" t="s">
        <v>24</v>
      </c>
      <c r="F490" s="1" t="s">
        <v>48</v>
      </c>
      <c r="G490" s="1">
        <v>13</v>
      </c>
      <c r="H490" s="1">
        <f t="shared" si="14"/>
        <v>78619</v>
      </c>
      <c r="I490" s="1">
        <v>1022047</v>
      </c>
      <c r="J490" s="6">
        <v>0</v>
      </c>
      <c r="K490" s="7">
        <v>1022047</v>
      </c>
      <c r="L490" s="1" t="s">
        <v>37</v>
      </c>
      <c r="M490" s="1" t="s">
        <v>38</v>
      </c>
      <c r="N490" s="3">
        <v>45209</v>
      </c>
      <c r="O490" s="3" t="str">
        <f t="shared" si="15"/>
        <v>Oct</v>
      </c>
      <c r="P490" s="12" t="s">
        <v>83</v>
      </c>
    </row>
    <row r="491" spans="1:16" x14ac:dyDescent="0.25">
      <c r="A491" s="11" t="s">
        <v>565</v>
      </c>
      <c r="B491" s="1" t="s">
        <v>103</v>
      </c>
      <c r="C491" s="2" t="s">
        <v>58</v>
      </c>
      <c r="D491" s="1" t="s">
        <v>29</v>
      </c>
      <c r="E491" s="1" t="s">
        <v>24</v>
      </c>
      <c r="F491" s="2" t="s">
        <v>71</v>
      </c>
      <c r="G491" s="1">
        <v>7</v>
      </c>
      <c r="H491" s="1">
        <f t="shared" si="14"/>
        <v>230131</v>
      </c>
      <c r="I491" s="2">
        <v>1610917</v>
      </c>
      <c r="J491" s="6">
        <v>9.9999999999999978E-2</v>
      </c>
      <c r="K491" s="8">
        <v>1449825.3</v>
      </c>
      <c r="L491" s="2" t="s">
        <v>49</v>
      </c>
      <c r="M491" s="2" t="s">
        <v>20</v>
      </c>
      <c r="N491" s="4">
        <v>44934</v>
      </c>
      <c r="O491" s="3" t="str">
        <f t="shared" si="15"/>
        <v>Jan</v>
      </c>
      <c r="P491" s="13" t="s">
        <v>55</v>
      </c>
    </row>
    <row r="492" spans="1:16" x14ac:dyDescent="0.25">
      <c r="A492" s="10" t="s">
        <v>566</v>
      </c>
      <c r="B492" s="1" t="s">
        <v>57</v>
      </c>
      <c r="C492" s="1" t="s">
        <v>51</v>
      </c>
      <c r="D492" s="1" t="s">
        <v>16</v>
      </c>
      <c r="E492" s="1" t="s">
        <v>30</v>
      </c>
      <c r="F492" s="1" t="s">
        <v>59</v>
      </c>
      <c r="G492" s="1">
        <v>8</v>
      </c>
      <c r="H492" s="1">
        <f t="shared" si="14"/>
        <v>34219</v>
      </c>
      <c r="I492" s="1">
        <v>273752</v>
      </c>
      <c r="J492" s="6">
        <v>0</v>
      </c>
      <c r="K492" s="7">
        <v>273752</v>
      </c>
      <c r="L492" s="1" t="s">
        <v>19</v>
      </c>
      <c r="M492" s="1" t="s">
        <v>20</v>
      </c>
      <c r="N492" s="3">
        <v>44982</v>
      </c>
      <c r="O492" s="3" t="str">
        <f t="shared" si="15"/>
        <v>Feb</v>
      </c>
      <c r="P492" s="12" t="s">
        <v>65</v>
      </c>
    </row>
    <row r="493" spans="1:16" x14ac:dyDescent="0.25">
      <c r="A493" s="11" t="s">
        <v>567</v>
      </c>
      <c r="B493" s="1" t="s">
        <v>119</v>
      </c>
      <c r="C493" s="2" t="s">
        <v>15</v>
      </c>
      <c r="D493" s="1" t="s">
        <v>16</v>
      </c>
      <c r="E493" s="1" t="s">
        <v>24</v>
      </c>
      <c r="F493" s="2" t="s">
        <v>25</v>
      </c>
      <c r="G493" s="1">
        <v>1</v>
      </c>
      <c r="H493" s="1">
        <f t="shared" si="14"/>
        <v>77692</v>
      </c>
      <c r="I493" s="2">
        <v>77692</v>
      </c>
      <c r="J493" s="6">
        <v>9.9999999999999964E-2</v>
      </c>
      <c r="K493" s="8">
        <v>69922.8</v>
      </c>
      <c r="L493" s="2" t="s">
        <v>19</v>
      </c>
      <c r="M493" s="2" t="s">
        <v>64</v>
      </c>
      <c r="N493" s="4">
        <v>44981</v>
      </c>
      <c r="O493" s="3" t="str">
        <f t="shared" si="15"/>
        <v>Feb</v>
      </c>
      <c r="P493" s="13" t="s">
        <v>32</v>
      </c>
    </row>
    <row r="494" spans="1:16" x14ac:dyDescent="0.25">
      <c r="A494" s="10" t="s">
        <v>568</v>
      </c>
      <c r="B494" s="1" t="s">
        <v>41</v>
      </c>
      <c r="C494" s="1" t="s">
        <v>42</v>
      </c>
      <c r="D494" s="1" t="s">
        <v>29</v>
      </c>
      <c r="E494" s="1" t="s">
        <v>30</v>
      </c>
      <c r="F494" s="1" t="s">
        <v>59</v>
      </c>
      <c r="G494" s="1">
        <v>11</v>
      </c>
      <c r="H494" s="1">
        <f t="shared" si="14"/>
        <v>50268</v>
      </c>
      <c r="I494" s="1">
        <v>552948</v>
      </c>
      <c r="J494" s="6">
        <v>0.15000000000000002</v>
      </c>
      <c r="K494" s="7">
        <v>470005.8</v>
      </c>
      <c r="L494" s="1" t="s">
        <v>49</v>
      </c>
      <c r="M494" s="1" t="s">
        <v>20</v>
      </c>
      <c r="N494" s="3">
        <f>N493</f>
        <v>44981</v>
      </c>
      <c r="O494" s="3" t="str">
        <f t="shared" si="15"/>
        <v>Feb</v>
      </c>
      <c r="P494" s="12" t="s">
        <v>55</v>
      </c>
    </row>
    <row r="495" spans="1:16" x14ac:dyDescent="0.25">
      <c r="A495" s="11" t="s">
        <v>569</v>
      </c>
      <c r="B495" s="1" t="s">
        <v>157</v>
      </c>
      <c r="C495" s="2" t="s">
        <v>58</v>
      </c>
      <c r="D495" s="1" t="s">
        <v>29</v>
      </c>
      <c r="E495" s="1" t="s">
        <v>17</v>
      </c>
      <c r="F495" s="2" t="s">
        <v>18</v>
      </c>
      <c r="G495" s="1">
        <v>14</v>
      </c>
      <c r="H495" s="1">
        <f t="shared" si="14"/>
        <v>198084</v>
      </c>
      <c r="I495" s="2">
        <v>2773176</v>
      </c>
      <c r="J495" s="6">
        <v>4.9999999999999933E-2</v>
      </c>
      <c r="K495" s="8">
        <v>2634517.2000000002</v>
      </c>
      <c r="L495" s="2" t="s">
        <v>49</v>
      </c>
      <c r="M495" s="2" t="s">
        <v>26</v>
      </c>
      <c r="N495" s="4">
        <v>44939</v>
      </c>
      <c r="O495" s="3" t="str">
        <f t="shared" si="15"/>
        <v>Jan</v>
      </c>
      <c r="P495" s="13" t="s">
        <v>32</v>
      </c>
    </row>
    <row r="496" spans="1:16" x14ac:dyDescent="0.25">
      <c r="A496" s="10" t="s">
        <v>325</v>
      </c>
      <c r="B496" s="1" t="s">
        <v>119</v>
      </c>
      <c r="C496" s="1" t="s">
        <v>28</v>
      </c>
      <c r="D496" s="1" t="s">
        <v>29</v>
      </c>
      <c r="E496" s="1" t="s">
        <v>24</v>
      </c>
      <c r="F496" s="1" t="s">
        <v>25</v>
      </c>
      <c r="G496" s="1">
        <v>20</v>
      </c>
      <c r="H496" s="1">
        <f t="shared" si="14"/>
        <v>30630</v>
      </c>
      <c r="I496" s="1">
        <v>612600</v>
      </c>
      <c r="J496" s="6">
        <v>0.15</v>
      </c>
      <c r="K496" s="7">
        <v>520710</v>
      </c>
      <c r="L496" s="1" t="s">
        <v>19</v>
      </c>
      <c r="M496" s="1" t="s">
        <v>64</v>
      </c>
      <c r="N496" s="3">
        <v>45237</v>
      </c>
      <c r="O496" s="3" t="str">
        <f t="shared" si="15"/>
        <v>Nov</v>
      </c>
      <c r="P496" s="12" t="s">
        <v>74</v>
      </c>
    </row>
    <row r="497" spans="1:16" x14ac:dyDescent="0.25">
      <c r="A497" s="11" t="s">
        <v>570</v>
      </c>
      <c r="B497" s="1" t="s">
        <v>103</v>
      </c>
      <c r="C497" s="2" t="s">
        <v>51</v>
      </c>
      <c r="D497" s="1" t="s">
        <v>16</v>
      </c>
      <c r="E497" s="1" t="s">
        <v>43</v>
      </c>
      <c r="F497" s="2" t="s">
        <v>98</v>
      </c>
      <c r="G497" s="1">
        <v>4</v>
      </c>
      <c r="H497" s="1">
        <f t="shared" si="14"/>
        <v>40737</v>
      </c>
      <c r="I497" s="2">
        <v>162948</v>
      </c>
      <c r="J497" s="6">
        <v>4.9999999999999961E-2</v>
      </c>
      <c r="K497" s="8">
        <v>154800.6</v>
      </c>
      <c r="L497" s="2" t="s">
        <v>49</v>
      </c>
      <c r="M497" s="2" t="s">
        <v>64</v>
      </c>
      <c r="N497" s="4">
        <v>45217</v>
      </c>
      <c r="O497" s="3" t="str">
        <f t="shared" si="15"/>
        <v>Oct</v>
      </c>
      <c r="P497" s="13" t="s">
        <v>32</v>
      </c>
    </row>
    <row r="498" spans="1:16" x14ac:dyDescent="0.25">
      <c r="A498" s="10" t="s">
        <v>571</v>
      </c>
      <c r="B498" s="1" t="s">
        <v>92</v>
      </c>
      <c r="C498" s="1" t="s">
        <v>42</v>
      </c>
      <c r="D498" s="1" t="s">
        <v>29</v>
      </c>
      <c r="E498" s="1" t="s">
        <v>43</v>
      </c>
      <c r="F498" s="1" t="s">
        <v>98</v>
      </c>
      <c r="G498" s="1">
        <v>5</v>
      </c>
      <c r="H498" s="1">
        <f t="shared" si="14"/>
        <v>65374</v>
      </c>
      <c r="I498" s="1">
        <v>326870</v>
      </c>
      <c r="J498" s="6">
        <v>0.2</v>
      </c>
      <c r="K498" s="7">
        <v>261496</v>
      </c>
      <c r="L498" s="1" t="s">
        <v>37</v>
      </c>
      <c r="M498" s="1" t="s">
        <v>64</v>
      </c>
      <c r="N498" s="3">
        <v>45208</v>
      </c>
      <c r="O498" s="3" t="str">
        <f t="shared" si="15"/>
        <v>Oct</v>
      </c>
      <c r="P498" s="12" t="s">
        <v>74</v>
      </c>
    </row>
    <row r="499" spans="1:16" x14ac:dyDescent="0.25">
      <c r="A499" s="11" t="s">
        <v>572</v>
      </c>
      <c r="B499" s="1" t="s">
        <v>80</v>
      </c>
      <c r="C499" s="2" t="s">
        <v>47</v>
      </c>
      <c r="D499" s="1" t="s">
        <v>16</v>
      </c>
      <c r="E499" s="1" t="s">
        <v>43</v>
      </c>
      <c r="F499" s="2" t="s">
        <v>98</v>
      </c>
      <c r="G499" s="1">
        <v>8</v>
      </c>
      <c r="H499" s="1">
        <f t="shared" si="14"/>
        <v>14637</v>
      </c>
      <c r="I499" s="2">
        <v>117096</v>
      </c>
      <c r="J499" s="6">
        <v>0.14999999999999994</v>
      </c>
      <c r="K499" s="8">
        <v>99531.6</v>
      </c>
      <c r="L499" s="2" t="s">
        <v>49</v>
      </c>
      <c r="M499" s="2" t="s">
        <v>26</v>
      </c>
      <c r="N499" s="4">
        <v>45110</v>
      </c>
      <c r="O499" s="3" t="str">
        <f t="shared" si="15"/>
        <v>Jul</v>
      </c>
      <c r="P499" s="13" t="s">
        <v>74</v>
      </c>
    </row>
    <row r="500" spans="1:16" x14ac:dyDescent="0.25">
      <c r="A500" s="10" t="s">
        <v>573</v>
      </c>
      <c r="B500" s="1" t="s">
        <v>95</v>
      </c>
      <c r="C500" s="1" t="s">
        <v>63</v>
      </c>
      <c r="D500" s="1" t="s">
        <v>29</v>
      </c>
      <c r="E500" s="1" t="s">
        <v>24</v>
      </c>
      <c r="F500" s="1" t="s">
        <v>71</v>
      </c>
      <c r="G500" s="1">
        <v>18</v>
      </c>
      <c r="H500" s="1">
        <f t="shared" si="14"/>
        <v>365659</v>
      </c>
      <c r="I500" s="1">
        <v>6581862</v>
      </c>
      <c r="J500" s="6">
        <v>0</v>
      </c>
      <c r="K500" s="7">
        <v>6581862</v>
      </c>
      <c r="L500" s="1" t="s">
        <v>19</v>
      </c>
      <c r="M500" s="1" t="s">
        <v>20</v>
      </c>
      <c r="N500" s="3">
        <v>44943</v>
      </c>
      <c r="O500" s="3" t="str">
        <f t="shared" si="15"/>
        <v>Jan</v>
      </c>
      <c r="P500" s="12" t="s">
        <v>45</v>
      </c>
    </row>
    <row r="501" spans="1:16" x14ac:dyDescent="0.25">
      <c r="A501" s="11" t="s">
        <v>574</v>
      </c>
      <c r="B501" s="1" t="s">
        <v>157</v>
      </c>
      <c r="C501" s="2" t="s">
        <v>63</v>
      </c>
      <c r="D501" s="1" t="s">
        <v>29</v>
      </c>
      <c r="E501" s="1" t="s">
        <v>35</v>
      </c>
      <c r="F501" s="2" t="s">
        <v>36</v>
      </c>
      <c r="G501" s="1">
        <v>3</v>
      </c>
      <c r="H501" s="1">
        <f t="shared" si="14"/>
        <v>449549</v>
      </c>
      <c r="I501" s="2">
        <v>1348647</v>
      </c>
      <c r="J501" s="6">
        <v>9.9999999999999964E-2</v>
      </c>
      <c r="K501" s="8">
        <v>1213782.3</v>
      </c>
      <c r="L501" s="2" t="s">
        <v>37</v>
      </c>
      <c r="M501" s="2" t="s">
        <v>38</v>
      </c>
      <c r="N501" s="4">
        <v>45251</v>
      </c>
      <c r="O501" s="3" t="str">
        <f t="shared" si="15"/>
        <v>Nov</v>
      </c>
      <c r="P501" s="13" t="s">
        <v>39</v>
      </c>
    </row>
    <row r="502" spans="1:16" x14ac:dyDescent="0.25">
      <c r="A502" s="10" t="s">
        <v>575</v>
      </c>
      <c r="B502" s="1" t="s">
        <v>62</v>
      </c>
      <c r="C502" s="1" t="s">
        <v>70</v>
      </c>
      <c r="D502" s="1" t="s">
        <v>16</v>
      </c>
      <c r="E502" s="1" t="s">
        <v>30</v>
      </c>
      <c r="F502" s="1" t="s">
        <v>31</v>
      </c>
      <c r="G502" s="1">
        <v>1</v>
      </c>
      <c r="H502" s="1">
        <f t="shared" si="14"/>
        <v>79177</v>
      </c>
      <c r="I502" s="1">
        <v>79177</v>
      </c>
      <c r="J502" s="6">
        <v>0</v>
      </c>
      <c r="K502" s="7">
        <v>79177</v>
      </c>
      <c r="L502" s="1" t="s">
        <v>37</v>
      </c>
      <c r="M502" s="1" t="s">
        <v>20</v>
      </c>
      <c r="N502" s="3">
        <v>45036</v>
      </c>
      <c r="O502" s="3" t="str">
        <f t="shared" si="15"/>
        <v>Apr</v>
      </c>
      <c r="P502" s="12" t="s">
        <v>77</v>
      </c>
    </row>
    <row r="503" spans="1:16" x14ac:dyDescent="0.25">
      <c r="A503" s="11" t="s">
        <v>576</v>
      </c>
      <c r="B503" s="1" t="s">
        <v>41</v>
      </c>
      <c r="C503" s="2" t="s">
        <v>28</v>
      </c>
      <c r="D503" s="1" t="s">
        <v>29</v>
      </c>
      <c r="E503" s="1" t="s">
        <v>30</v>
      </c>
      <c r="F503" s="2" t="s">
        <v>31</v>
      </c>
      <c r="G503" s="1">
        <v>3</v>
      </c>
      <c r="H503" s="1">
        <f t="shared" si="14"/>
        <v>58627</v>
      </c>
      <c r="I503" s="2">
        <v>175881</v>
      </c>
      <c r="J503" s="6">
        <v>0.14999999999999997</v>
      </c>
      <c r="K503" s="8">
        <v>149498.85</v>
      </c>
      <c r="L503" s="2" t="s">
        <v>19</v>
      </c>
      <c r="M503" s="2" t="s">
        <v>38</v>
      </c>
      <c r="N503" s="4">
        <v>45068</v>
      </c>
      <c r="O503" s="3" t="str">
        <f t="shared" si="15"/>
        <v>May</v>
      </c>
      <c r="P503" s="13" t="s">
        <v>21</v>
      </c>
    </row>
    <row r="504" spans="1:16" x14ac:dyDescent="0.25">
      <c r="A504" s="10" t="s">
        <v>577</v>
      </c>
      <c r="B504" s="1" t="s">
        <v>92</v>
      </c>
      <c r="C504" s="1" t="s">
        <v>58</v>
      </c>
      <c r="D504" s="1" t="s">
        <v>29</v>
      </c>
      <c r="E504" s="1" t="s">
        <v>17</v>
      </c>
      <c r="F504" s="1" t="s">
        <v>82</v>
      </c>
      <c r="G504" s="1">
        <v>16</v>
      </c>
      <c r="H504" s="1">
        <f t="shared" si="14"/>
        <v>354012</v>
      </c>
      <c r="I504" s="1">
        <v>5664192</v>
      </c>
      <c r="J504" s="6">
        <v>0.10000000000000003</v>
      </c>
      <c r="K504" s="7">
        <v>5097772.8</v>
      </c>
      <c r="L504" s="1" t="s">
        <v>49</v>
      </c>
      <c r="M504" s="1" t="s">
        <v>64</v>
      </c>
      <c r="N504" s="3">
        <v>45062</v>
      </c>
      <c r="O504" s="3" t="str">
        <f t="shared" si="15"/>
        <v>May</v>
      </c>
      <c r="P504" s="12" t="s">
        <v>65</v>
      </c>
    </row>
    <row r="505" spans="1:16" x14ac:dyDescent="0.25">
      <c r="A505" s="11" t="s">
        <v>578</v>
      </c>
      <c r="B505" s="1" t="s">
        <v>34</v>
      </c>
      <c r="C505" s="2" t="s">
        <v>63</v>
      </c>
      <c r="D505" s="1" t="s">
        <v>29</v>
      </c>
      <c r="E505" s="1" t="s">
        <v>30</v>
      </c>
      <c r="F505" s="2" t="s">
        <v>59</v>
      </c>
      <c r="G505" s="1">
        <v>18</v>
      </c>
      <c r="H505" s="1">
        <f t="shared" si="14"/>
        <v>177854</v>
      </c>
      <c r="I505" s="2">
        <v>3201372</v>
      </c>
      <c r="J505" s="6">
        <v>0</v>
      </c>
      <c r="K505" s="8">
        <v>3201372</v>
      </c>
      <c r="L505" s="2" t="s">
        <v>49</v>
      </c>
      <c r="M505" s="2" t="s">
        <v>20</v>
      </c>
      <c r="N505" s="4">
        <v>45139</v>
      </c>
      <c r="O505" s="3" t="str">
        <f t="shared" si="15"/>
        <v>Aug</v>
      </c>
      <c r="P505" s="13" t="s">
        <v>45</v>
      </c>
    </row>
    <row r="506" spans="1:16" x14ac:dyDescent="0.25">
      <c r="A506" s="10" t="s">
        <v>579</v>
      </c>
      <c r="B506" s="1" t="s">
        <v>62</v>
      </c>
      <c r="C506" s="1" t="s">
        <v>63</v>
      </c>
      <c r="D506" s="1" t="s">
        <v>29</v>
      </c>
      <c r="E506" s="1" t="s">
        <v>17</v>
      </c>
      <c r="F506" s="1" t="s">
        <v>82</v>
      </c>
      <c r="G506" s="1">
        <v>7</v>
      </c>
      <c r="H506" s="1">
        <f t="shared" si="14"/>
        <v>185279</v>
      </c>
      <c r="I506" s="1">
        <v>1296953</v>
      </c>
      <c r="J506" s="6">
        <v>0</v>
      </c>
      <c r="K506" s="7">
        <v>1296953</v>
      </c>
      <c r="L506" s="1" t="s">
        <v>37</v>
      </c>
      <c r="M506" s="1" t="s">
        <v>64</v>
      </c>
      <c r="N506" s="3">
        <v>45040</v>
      </c>
      <c r="O506" s="3" t="str">
        <f t="shared" si="15"/>
        <v>Apr</v>
      </c>
      <c r="P506" s="12" t="s">
        <v>39</v>
      </c>
    </row>
    <row r="507" spans="1:16" x14ac:dyDescent="0.25">
      <c r="A507" s="10" t="s">
        <v>580</v>
      </c>
      <c r="B507" s="1" t="s">
        <v>80</v>
      </c>
      <c r="C507" s="1" t="s">
        <v>51</v>
      </c>
      <c r="D507" s="1" t="s">
        <v>16</v>
      </c>
      <c r="E507" s="1" t="s">
        <v>24</v>
      </c>
      <c r="F507" s="1" t="s">
        <v>48</v>
      </c>
      <c r="G507" s="1">
        <v>10</v>
      </c>
      <c r="H507" s="1">
        <f t="shared" si="14"/>
        <v>24974</v>
      </c>
      <c r="I507" s="1">
        <v>249740</v>
      </c>
      <c r="J507" s="6">
        <v>0.2</v>
      </c>
      <c r="K507" s="7">
        <v>199792</v>
      </c>
      <c r="L507" s="1" t="s">
        <v>19</v>
      </c>
      <c r="M507" s="1" t="s">
        <v>26</v>
      </c>
      <c r="N507" s="3">
        <v>44929</v>
      </c>
      <c r="O507" s="3" t="str">
        <f t="shared" si="15"/>
        <v>Jan</v>
      </c>
      <c r="P507" s="12" t="s">
        <v>77</v>
      </c>
    </row>
    <row r="508" spans="1:16" x14ac:dyDescent="0.25">
      <c r="A508" s="11" t="s">
        <v>581</v>
      </c>
      <c r="B508" s="1" t="s">
        <v>80</v>
      </c>
      <c r="C508" s="2" t="s">
        <v>51</v>
      </c>
      <c r="D508" s="1" t="s">
        <v>16</v>
      </c>
      <c r="E508" s="1" t="s">
        <v>24</v>
      </c>
      <c r="F508" s="2" t="s">
        <v>71</v>
      </c>
      <c r="G508" s="1">
        <v>18</v>
      </c>
      <c r="H508" s="1">
        <f t="shared" si="14"/>
        <v>7453</v>
      </c>
      <c r="I508" s="2">
        <v>134154</v>
      </c>
      <c r="J508" s="6">
        <v>4.9999999999999975E-2</v>
      </c>
      <c r="K508" s="8">
        <v>127446.3</v>
      </c>
      <c r="L508" s="2" t="s">
        <v>19</v>
      </c>
      <c r="M508" s="2" t="s">
        <v>20</v>
      </c>
      <c r="N508" s="4">
        <v>44962</v>
      </c>
      <c r="O508" s="3" t="str">
        <f t="shared" si="15"/>
        <v>Feb</v>
      </c>
      <c r="P508" s="13" t="s">
        <v>65</v>
      </c>
    </row>
    <row r="509" spans="1:16" x14ac:dyDescent="0.25">
      <c r="A509" s="10" t="s">
        <v>582</v>
      </c>
      <c r="B509" s="1" t="s">
        <v>57</v>
      </c>
      <c r="C509" s="1" t="s">
        <v>15</v>
      </c>
      <c r="D509" s="1" t="s">
        <v>16</v>
      </c>
      <c r="E509" s="1" t="s">
        <v>24</v>
      </c>
      <c r="F509" s="1" t="s">
        <v>48</v>
      </c>
      <c r="G509" s="1">
        <v>14</v>
      </c>
      <c r="H509" s="1">
        <f t="shared" si="14"/>
        <v>43691</v>
      </c>
      <c r="I509" s="1">
        <v>611674</v>
      </c>
      <c r="J509" s="6">
        <v>4.9999999999999926E-2</v>
      </c>
      <c r="K509" s="7">
        <v>581090.30000000005</v>
      </c>
      <c r="L509" s="1" t="s">
        <v>60</v>
      </c>
      <c r="M509" s="1" t="s">
        <v>26</v>
      </c>
      <c r="N509" s="3">
        <v>45226</v>
      </c>
      <c r="O509" s="3" t="str">
        <f t="shared" si="15"/>
        <v>Oct</v>
      </c>
      <c r="P509" s="12" t="s">
        <v>122</v>
      </c>
    </row>
    <row r="510" spans="1:16" x14ac:dyDescent="0.25">
      <c r="A510" s="11" t="s">
        <v>583</v>
      </c>
      <c r="B510" s="1" t="s">
        <v>90</v>
      </c>
      <c r="C510" s="2" t="s">
        <v>15</v>
      </c>
      <c r="D510" s="1" t="s">
        <v>16</v>
      </c>
      <c r="E510" s="1" t="s">
        <v>30</v>
      </c>
      <c r="F510" s="2" t="s">
        <v>31</v>
      </c>
      <c r="G510" s="1">
        <v>9</v>
      </c>
      <c r="H510" s="1">
        <f t="shared" si="14"/>
        <v>63761.888888888891</v>
      </c>
      <c r="I510" s="2">
        <v>573857</v>
      </c>
      <c r="J510" s="6">
        <v>0</v>
      </c>
      <c r="K510" s="8">
        <v>573857</v>
      </c>
      <c r="L510" s="2" t="s">
        <v>60</v>
      </c>
      <c r="M510" s="2" t="s">
        <v>20</v>
      </c>
      <c r="N510" s="4">
        <v>44985</v>
      </c>
      <c r="O510" s="3" t="str">
        <f t="shared" si="15"/>
        <v>Feb</v>
      </c>
      <c r="P510" s="13" t="s">
        <v>122</v>
      </c>
    </row>
    <row r="511" spans="1:16" x14ac:dyDescent="0.25">
      <c r="A511" s="10" t="s">
        <v>584</v>
      </c>
      <c r="B511" s="1" t="s">
        <v>103</v>
      </c>
      <c r="C511" s="1" t="s">
        <v>54</v>
      </c>
      <c r="D511" s="1" t="s">
        <v>29</v>
      </c>
      <c r="E511" s="1" t="s">
        <v>30</v>
      </c>
      <c r="F511" s="1" t="s">
        <v>31</v>
      </c>
      <c r="G511" s="1">
        <v>1</v>
      </c>
      <c r="H511" s="1">
        <f t="shared" si="14"/>
        <v>208484</v>
      </c>
      <c r="I511" s="1">
        <v>208484</v>
      </c>
      <c r="J511" s="6">
        <v>0.19999999999999996</v>
      </c>
      <c r="K511" s="7">
        <v>166787.20000000001</v>
      </c>
      <c r="L511" s="1" t="s">
        <v>60</v>
      </c>
      <c r="M511" s="1" t="s">
        <v>26</v>
      </c>
      <c r="N511" s="3">
        <v>45103</v>
      </c>
      <c r="O511" s="3" t="str">
        <f t="shared" si="15"/>
        <v>Jun</v>
      </c>
      <c r="P511" s="12" t="s">
        <v>21</v>
      </c>
    </row>
    <row r="512" spans="1:16" x14ac:dyDescent="0.25">
      <c r="A512" s="11" t="s">
        <v>585</v>
      </c>
      <c r="B512" s="1" t="s">
        <v>76</v>
      </c>
      <c r="C512" s="2" t="s">
        <v>58</v>
      </c>
      <c r="D512" s="1" t="s">
        <v>29</v>
      </c>
      <c r="E512" s="1" t="s">
        <v>30</v>
      </c>
      <c r="F512" s="2" t="s">
        <v>31</v>
      </c>
      <c r="G512" s="1">
        <v>6</v>
      </c>
      <c r="H512" s="1">
        <f t="shared" si="14"/>
        <v>284726</v>
      </c>
      <c r="I512" s="2">
        <v>1708356</v>
      </c>
      <c r="J512" s="6">
        <v>0.14999999999999994</v>
      </c>
      <c r="K512" s="8">
        <v>1452102.6</v>
      </c>
      <c r="L512" s="2" t="s">
        <v>19</v>
      </c>
      <c r="M512" s="2" t="s">
        <v>64</v>
      </c>
      <c r="N512" s="4">
        <v>44993</v>
      </c>
      <c r="O512" s="3" t="str">
        <f t="shared" si="15"/>
        <v>Mar</v>
      </c>
      <c r="P512" s="13" t="s">
        <v>21</v>
      </c>
    </row>
    <row r="513" spans="1:16" x14ac:dyDescent="0.25">
      <c r="A513" s="10" t="s">
        <v>586</v>
      </c>
      <c r="B513" s="1" t="s">
        <v>87</v>
      </c>
      <c r="C513" s="1" t="s">
        <v>15</v>
      </c>
      <c r="D513" s="1" t="s">
        <v>16</v>
      </c>
      <c r="E513" s="1" t="s">
        <v>35</v>
      </c>
      <c r="F513" s="1" t="s">
        <v>68</v>
      </c>
      <c r="G513" s="1">
        <v>17</v>
      </c>
      <c r="H513" s="1">
        <f t="shared" si="14"/>
        <v>37975</v>
      </c>
      <c r="I513" s="1">
        <v>645575</v>
      </c>
      <c r="J513" s="6">
        <v>0.15</v>
      </c>
      <c r="K513" s="7">
        <v>548738.75</v>
      </c>
      <c r="L513" s="1" t="s">
        <v>37</v>
      </c>
      <c r="M513" s="1" t="s">
        <v>20</v>
      </c>
      <c r="N513" s="3">
        <v>45093</v>
      </c>
      <c r="O513" s="3" t="str">
        <f t="shared" si="15"/>
        <v>Jun</v>
      </c>
      <c r="P513" s="12" t="s">
        <v>83</v>
      </c>
    </row>
    <row r="514" spans="1:16" x14ac:dyDescent="0.25">
      <c r="A514" s="11" t="s">
        <v>587</v>
      </c>
      <c r="B514" s="1" t="s">
        <v>23</v>
      </c>
      <c r="C514" s="2" t="s">
        <v>81</v>
      </c>
      <c r="D514" s="1" t="s">
        <v>16</v>
      </c>
      <c r="E514" s="1" t="s">
        <v>43</v>
      </c>
      <c r="F514" s="2" t="s">
        <v>44</v>
      </c>
      <c r="G514" s="1">
        <v>5</v>
      </c>
      <c r="H514" s="1">
        <f t="shared" ref="H514:H577" si="16">I514/G514</f>
        <v>70840</v>
      </c>
      <c r="I514" s="2">
        <v>354200</v>
      </c>
      <c r="J514" s="6">
        <v>0.2</v>
      </c>
      <c r="K514" s="8">
        <v>283360</v>
      </c>
      <c r="L514" s="2" t="s">
        <v>19</v>
      </c>
      <c r="M514" s="2" t="s">
        <v>38</v>
      </c>
      <c r="N514" s="4">
        <v>45123</v>
      </c>
      <c r="O514" s="3" t="str">
        <f t="shared" si="15"/>
        <v>Jul</v>
      </c>
      <c r="P514" s="13" t="s">
        <v>83</v>
      </c>
    </row>
    <row r="515" spans="1:16" x14ac:dyDescent="0.25">
      <c r="A515" s="10" t="s">
        <v>588</v>
      </c>
      <c r="B515" s="1" t="s">
        <v>53</v>
      </c>
      <c r="C515" s="1" t="s">
        <v>47</v>
      </c>
      <c r="D515" s="1" t="s">
        <v>16</v>
      </c>
      <c r="E515" s="1" t="s">
        <v>30</v>
      </c>
      <c r="F515" s="1" t="s">
        <v>125</v>
      </c>
      <c r="G515" s="1">
        <v>11</v>
      </c>
      <c r="H515" s="1">
        <f t="shared" si="16"/>
        <v>46904</v>
      </c>
      <c r="I515" s="1">
        <v>515944</v>
      </c>
      <c r="J515" s="6">
        <v>0.19999999999999998</v>
      </c>
      <c r="K515" s="7">
        <v>412755.20000000001</v>
      </c>
      <c r="L515" s="1" t="s">
        <v>60</v>
      </c>
      <c r="M515" s="1" t="s">
        <v>38</v>
      </c>
      <c r="N515" s="3">
        <v>45130</v>
      </c>
      <c r="O515" s="3" t="str">
        <f t="shared" ref="O515:O578" si="17">TEXT(N515,"mmm")</f>
        <v>Jul</v>
      </c>
      <c r="P515" s="12" t="s">
        <v>21</v>
      </c>
    </row>
    <row r="516" spans="1:16" x14ac:dyDescent="0.25">
      <c r="A516" s="11" t="s">
        <v>589</v>
      </c>
      <c r="B516" s="1" t="s">
        <v>90</v>
      </c>
      <c r="C516" s="2" t="s">
        <v>70</v>
      </c>
      <c r="D516" s="1" t="s">
        <v>16</v>
      </c>
      <c r="E516" s="1" t="s">
        <v>17</v>
      </c>
      <c r="F516" s="2" t="s">
        <v>18</v>
      </c>
      <c r="G516" s="1">
        <v>2</v>
      </c>
      <c r="H516" s="1">
        <f t="shared" si="16"/>
        <v>45404</v>
      </c>
      <c r="I516" s="2">
        <v>90808</v>
      </c>
      <c r="J516" s="6">
        <v>0.10000000000000003</v>
      </c>
      <c r="K516" s="8">
        <v>81727.199999999997</v>
      </c>
      <c r="L516" s="2" t="s">
        <v>60</v>
      </c>
      <c r="M516" s="2" t="s">
        <v>38</v>
      </c>
      <c r="N516" s="4">
        <v>45027</v>
      </c>
      <c r="O516" s="3" t="str">
        <f t="shared" si="17"/>
        <v>Apr</v>
      </c>
      <c r="P516" s="13" t="s">
        <v>77</v>
      </c>
    </row>
    <row r="517" spans="1:16" x14ac:dyDescent="0.25">
      <c r="A517" s="10" t="s">
        <v>590</v>
      </c>
      <c r="B517" s="1" t="s">
        <v>90</v>
      </c>
      <c r="C517" s="1" t="s">
        <v>15</v>
      </c>
      <c r="D517" s="1" t="s">
        <v>16</v>
      </c>
      <c r="E517" s="1" t="s">
        <v>43</v>
      </c>
      <c r="F517" s="1" t="s">
        <v>98</v>
      </c>
      <c r="G517" s="1">
        <v>3</v>
      </c>
      <c r="H517" s="1">
        <f t="shared" si="16"/>
        <v>71895</v>
      </c>
      <c r="I517" s="1">
        <v>215685</v>
      </c>
      <c r="J517" s="6">
        <v>0.15</v>
      </c>
      <c r="K517" s="7">
        <v>183332.25</v>
      </c>
      <c r="L517" s="1" t="s">
        <v>60</v>
      </c>
      <c r="M517" s="1" t="s">
        <v>26</v>
      </c>
      <c r="N517" s="3">
        <v>45157</v>
      </c>
      <c r="O517" s="3" t="str">
        <f t="shared" si="17"/>
        <v>Aug</v>
      </c>
      <c r="P517" s="12" t="s">
        <v>39</v>
      </c>
    </row>
    <row r="518" spans="1:16" x14ac:dyDescent="0.25">
      <c r="A518" s="11" t="s">
        <v>591</v>
      </c>
      <c r="B518" s="1" t="s">
        <v>41</v>
      </c>
      <c r="C518" s="2" t="s">
        <v>58</v>
      </c>
      <c r="D518" s="1" t="s">
        <v>29</v>
      </c>
      <c r="E518" s="1" t="s">
        <v>43</v>
      </c>
      <c r="F518" s="2" t="s">
        <v>98</v>
      </c>
      <c r="G518" s="1">
        <v>10</v>
      </c>
      <c r="H518" s="1">
        <f t="shared" si="16"/>
        <v>282118</v>
      </c>
      <c r="I518" s="2">
        <v>2821180</v>
      </c>
      <c r="J518" s="6">
        <v>0.2</v>
      </c>
      <c r="K518" s="8">
        <v>2256944</v>
      </c>
      <c r="L518" s="2" t="s">
        <v>49</v>
      </c>
      <c r="M518" s="2" t="s">
        <v>38</v>
      </c>
      <c r="N518" s="4">
        <v>45205</v>
      </c>
      <c r="O518" s="3" t="str">
        <f t="shared" si="17"/>
        <v>Oct</v>
      </c>
      <c r="P518" s="13" t="s">
        <v>45</v>
      </c>
    </row>
    <row r="519" spans="1:16" x14ac:dyDescent="0.25">
      <c r="A519" s="10" t="s">
        <v>325</v>
      </c>
      <c r="B519" s="1" t="s">
        <v>114</v>
      </c>
      <c r="C519" s="1" t="s">
        <v>54</v>
      </c>
      <c r="D519" s="1" t="s">
        <v>29</v>
      </c>
      <c r="E519" s="1" t="s">
        <v>17</v>
      </c>
      <c r="F519" s="1" t="s">
        <v>18</v>
      </c>
      <c r="G519" s="1">
        <v>12</v>
      </c>
      <c r="H519" s="1">
        <f t="shared" si="16"/>
        <v>186066</v>
      </c>
      <c r="I519" s="1">
        <v>2232792</v>
      </c>
      <c r="J519" s="6">
        <v>5.0000000000000044E-2</v>
      </c>
      <c r="K519" s="7">
        <v>2121152.4</v>
      </c>
      <c r="L519" s="1" t="s">
        <v>60</v>
      </c>
      <c r="M519" s="1" t="s">
        <v>26</v>
      </c>
      <c r="N519" s="3">
        <v>45192</v>
      </c>
      <c r="O519" s="3" t="str">
        <f t="shared" si="17"/>
        <v>Sep</v>
      </c>
      <c r="P519" s="12" t="s">
        <v>65</v>
      </c>
    </row>
    <row r="520" spans="1:16" x14ac:dyDescent="0.25">
      <c r="A520" s="11" t="s">
        <v>592</v>
      </c>
      <c r="B520" s="1" t="s">
        <v>76</v>
      </c>
      <c r="C520" s="2" t="s">
        <v>58</v>
      </c>
      <c r="D520" s="1" t="s">
        <v>29</v>
      </c>
      <c r="E520" s="1" t="s">
        <v>43</v>
      </c>
      <c r="F520" s="2" t="s">
        <v>44</v>
      </c>
      <c r="G520" s="1">
        <v>12</v>
      </c>
      <c r="H520" s="1">
        <f t="shared" si="16"/>
        <v>368751</v>
      </c>
      <c r="I520" s="2">
        <v>4425012</v>
      </c>
      <c r="J520" s="6">
        <v>4.9999999999999913E-2</v>
      </c>
      <c r="K520" s="8">
        <v>4203761.4000000004</v>
      </c>
      <c r="L520" s="2" t="s">
        <v>60</v>
      </c>
      <c r="M520" s="2" t="s">
        <v>38</v>
      </c>
      <c r="N520" s="4">
        <f>N519</f>
        <v>45192</v>
      </c>
      <c r="O520" s="3" t="str">
        <f t="shared" si="17"/>
        <v>Sep</v>
      </c>
      <c r="P520" s="13" t="s">
        <v>39</v>
      </c>
    </row>
    <row r="521" spans="1:16" x14ac:dyDescent="0.25">
      <c r="A521" s="10" t="s">
        <v>593</v>
      </c>
      <c r="B521" s="1" t="s">
        <v>62</v>
      </c>
      <c r="C521" s="1" t="s">
        <v>70</v>
      </c>
      <c r="D521" s="1" t="s">
        <v>16</v>
      </c>
      <c r="E521" s="1" t="s">
        <v>17</v>
      </c>
      <c r="F521" s="1" t="s">
        <v>18</v>
      </c>
      <c r="G521" s="1">
        <v>19</v>
      </c>
      <c r="H521" s="1">
        <f t="shared" si="16"/>
        <v>54816</v>
      </c>
      <c r="I521" s="1">
        <v>1041504</v>
      </c>
      <c r="J521" s="6">
        <v>0</v>
      </c>
      <c r="K521" s="7">
        <v>1041504</v>
      </c>
      <c r="L521" s="1" t="s">
        <v>60</v>
      </c>
      <c r="M521" s="1" t="s">
        <v>64</v>
      </c>
      <c r="N521" s="3">
        <v>45171</v>
      </c>
      <c r="O521" s="3" t="str">
        <f t="shared" si="17"/>
        <v>Sep</v>
      </c>
      <c r="P521" s="12" t="s">
        <v>21</v>
      </c>
    </row>
    <row r="522" spans="1:16" x14ac:dyDescent="0.25">
      <c r="A522" s="11" t="s">
        <v>594</v>
      </c>
      <c r="B522" s="1" t="s">
        <v>95</v>
      </c>
      <c r="C522" s="2" t="s">
        <v>81</v>
      </c>
      <c r="D522" s="1" t="s">
        <v>29</v>
      </c>
      <c r="E522" s="1" t="s">
        <v>35</v>
      </c>
      <c r="F522" s="2" t="s">
        <v>108</v>
      </c>
      <c r="G522" s="1">
        <v>8</v>
      </c>
      <c r="H522" s="1">
        <f t="shared" si="16"/>
        <v>24356</v>
      </c>
      <c r="I522" s="2">
        <v>194848</v>
      </c>
      <c r="J522" s="6">
        <v>9.9999999999999936E-2</v>
      </c>
      <c r="K522" s="8">
        <v>175363.20000000001</v>
      </c>
      <c r="L522" s="2" t="s">
        <v>49</v>
      </c>
      <c r="M522" s="2" t="s">
        <v>20</v>
      </c>
      <c r="N522" s="4">
        <v>45154</v>
      </c>
      <c r="O522" s="3" t="str">
        <f t="shared" si="17"/>
        <v>Aug</v>
      </c>
      <c r="P522" s="13" t="s">
        <v>39</v>
      </c>
    </row>
    <row r="523" spans="1:16" x14ac:dyDescent="0.25">
      <c r="A523" s="10" t="s">
        <v>595</v>
      </c>
      <c r="B523" s="1" t="s">
        <v>57</v>
      </c>
      <c r="C523" s="1" t="s">
        <v>51</v>
      </c>
      <c r="D523" s="1" t="s">
        <v>16</v>
      </c>
      <c r="E523" s="1" t="s">
        <v>24</v>
      </c>
      <c r="F523" s="1" t="s">
        <v>71</v>
      </c>
      <c r="G523" s="1">
        <v>2</v>
      </c>
      <c r="H523" s="1">
        <f t="shared" si="16"/>
        <v>6699</v>
      </c>
      <c r="I523" s="1">
        <v>13398</v>
      </c>
      <c r="J523" s="6">
        <v>9.999999999999995E-2</v>
      </c>
      <c r="K523" s="7">
        <v>12058.2</v>
      </c>
      <c r="L523" s="1" t="s">
        <v>37</v>
      </c>
      <c r="M523" s="1" t="s">
        <v>38</v>
      </c>
      <c r="N523" s="3">
        <v>45253</v>
      </c>
      <c r="O523" s="3" t="str">
        <f t="shared" si="17"/>
        <v>Nov</v>
      </c>
      <c r="P523" s="12" t="s">
        <v>77</v>
      </c>
    </row>
    <row r="524" spans="1:16" x14ac:dyDescent="0.25">
      <c r="A524" s="11" t="s">
        <v>596</v>
      </c>
      <c r="B524" s="1" t="s">
        <v>57</v>
      </c>
      <c r="C524" s="2" t="s">
        <v>51</v>
      </c>
      <c r="D524" s="1" t="s">
        <v>16</v>
      </c>
      <c r="E524" s="1" t="s">
        <v>35</v>
      </c>
      <c r="F524" s="2" t="s">
        <v>68</v>
      </c>
      <c r="G524" s="1">
        <v>7</v>
      </c>
      <c r="H524" s="1">
        <f t="shared" si="16"/>
        <v>84139.71428571429</v>
      </c>
      <c r="I524" s="2">
        <v>588978</v>
      </c>
      <c r="J524" s="6">
        <v>0</v>
      </c>
      <c r="K524" s="8">
        <v>588978</v>
      </c>
      <c r="L524" s="2" t="s">
        <v>60</v>
      </c>
      <c r="M524" s="2" t="s">
        <v>26</v>
      </c>
      <c r="N524" s="4">
        <v>44965</v>
      </c>
      <c r="O524" s="3" t="str">
        <f t="shared" si="17"/>
        <v>Feb</v>
      </c>
      <c r="P524" s="13" t="s">
        <v>21</v>
      </c>
    </row>
    <row r="525" spans="1:16" x14ac:dyDescent="0.25">
      <c r="A525" s="10" t="s">
        <v>597</v>
      </c>
      <c r="B525" s="1" t="s">
        <v>34</v>
      </c>
      <c r="C525" s="1" t="s">
        <v>42</v>
      </c>
      <c r="D525" s="1" t="s">
        <v>29</v>
      </c>
      <c r="E525" s="1" t="s">
        <v>43</v>
      </c>
      <c r="F525" s="1" t="s">
        <v>98</v>
      </c>
      <c r="G525" s="1">
        <v>19</v>
      </c>
      <c r="H525" s="1">
        <f t="shared" si="16"/>
        <v>38244</v>
      </c>
      <c r="I525" s="1">
        <v>726636</v>
      </c>
      <c r="J525" s="6">
        <v>9.9999999999999964E-2</v>
      </c>
      <c r="K525" s="7">
        <v>653972.4</v>
      </c>
      <c r="L525" s="1" t="s">
        <v>19</v>
      </c>
      <c r="M525" s="1" t="s">
        <v>20</v>
      </c>
      <c r="N525" s="3">
        <v>45243</v>
      </c>
      <c r="O525" s="3" t="str">
        <f t="shared" si="17"/>
        <v>Nov</v>
      </c>
      <c r="P525" s="12" t="s">
        <v>122</v>
      </c>
    </row>
    <row r="526" spans="1:16" x14ac:dyDescent="0.25">
      <c r="A526" s="11" t="s">
        <v>598</v>
      </c>
      <c r="B526" s="1" t="s">
        <v>157</v>
      </c>
      <c r="C526" s="2" t="s">
        <v>54</v>
      </c>
      <c r="D526" s="1" t="s">
        <v>29</v>
      </c>
      <c r="E526" s="1" t="s">
        <v>30</v>
      </c>
      <c r="F526" s="2" t="s">
        <v>59</v>
      </c>
      <c r="G526" s="1">
        <v>20</v>
      </c>
      <c r="H526" s="1">
        <f t="shared" si="16"/>
        <v>195353</v>
      </c>
      <c r="I526" s="2">
        <v>3907060</v>
      </c>
      <c r="J526" s="6">
        <v>0.1</v>
      </c>
      <c r="K526" s="8">
        <v>3516354</v>
      </c>
      <c r="L526" s="2" t="s">
        <v>37</v>
      </c>
      <c r="M526" s="2" t="s">
        <v>64</v>
      </c>
      <c r="N526" s="4">
        <v>45085</v>
      </c>
      <c r="O526" s="3" t="str">
        <f t="shared" si="17"/>
        <v>Jun</v>
      </c>
      <c r="P526" s="13" t="s">
        <v>32</v>
      </c>
    </row>
    <row r="527" spans="1:16" x14ac:dyDescent="0.25">
      <c r="A527" s="10" t="s">
        <v>599</v>
      </c>
      <c r="B527" s="1" t="s">
        <v>41</v>
      </c>
      <c r="C527" s="1" t="s">
        <v>47</v>
      </c>
      <c r="D527" s="1" t="s">
        <v>16</v>
      </c>
      <c r="E527" s="1" t="s">
        <v>17</v>
      </c>
      <c r="F527" s="1" t="s">
        <v>18</v>
      </c>
      <c r="G527" s="1">
        <v>19</v>
      </c>
      <c r="H527" s="1">
        <f t="shared" si="16"/>
        <v>75956</v>
      </c>
      <c r="I527" s="1">
        <v>1443164</v>
      </c>
      <c r="J527" s="6">
        <v>4.9999999999999968E-2</v>
      </c>
      <c r="K527" s="7">
        <v>1371005.8</v>
      </c>
      <c r="L527" s="1" t="s">
        <v>60</v>
      </c>
      <c r="M527" s="1" t="s">
        <v>26</v>
      </c>
      <c r="N527" s="3">
        <v>45006</v>
      </c>
      <c r="O527" s="3" t="str">
        <f t="shared" si="17"/>
        <v>Mar</v>
      </c>
      <c r="P527" s="12" t="s">
        <v>74</v>
      </c>
    </row>
    <row r="528" spans="1:16" x14ac:dyDescent="0.25">
      <c r="A528" s="11" t="s">
        <v>600</v>
      </c>
      <c r="B528" s="1" t="s">
        <v>103</v>
      </c>
      <c r="C528" s="2" t="s">
        <v>70</v>
      </c>
      <c r="D528" s="1" t="s">
        <v>16</v>
      </c>
      <c r="E528" s="1" t="s">
        <v>35</v>
      </c>
      <c r="F528" s="2" t="s">
        <v>73</v>
      </c>
      <c r="G528" s="1">
        <v>6</v>
      </c>
      <c r="H528" s="1">
        <f t="shared" si="16"/>
        <v>28703</v>
      </c>
      <c r="I528" s="2">
        <v>172218</v>
      </c>
      <c r="J528" s="6">
        <v>0.20000000000000004</v>
      </c>
      <c r="K528" s="8">
        <v>137774.39999999999</v>
      </c>
      <c r="L528" s="2" t="s">
        <v>37</v>
      </c>
      <c r="M528" s="2" t="s">
        <v>64</v>
      </c>
      <c r="N528" s="4">
        <v>45267</v>
      </c>
      <c r="O528" s="3" t="str">
        <f t="shared" si="17"/>
        <v>Dec</v>
      </c>
      <c r="P528" s="13" t="s">
        <v>122</v>
      </c>
    </row>
    <row r="529" spans="1:16" x14ac:dyDescent="0.25">
      <c r="A529" s="10" t="s">
        <v>601</v>
      </c>
      <c r="B529" s="1" t="s">
        <v>23</v>
      </c>
      <c r="C529" s="1" t="s">
        <v>47</v>
      </c>
      <c r="D529" s="1" t="s">
        <v>16</v>
      </c>
      <c r="E529" s="1" t="s">
        <v>43</v>
      </c>
      <c r="F529" s="1" t="s">
        <v>44</v>
      </c>
      <c r="G529" s="1">
        <v>16</v>
      </c>
      <c r="H529" s="1">
        <f t="shared" si="16"/>
        <v>77768</v>
      </c>
      <c r="I529" s="1">
        <v>1244288</v>
      </c>
      <c r="J529" s="6">
        <v>4.9999999999999926E-2</v>
      </c>
      <c r="K529" s="7">
        <v>1182073.6000000001</v>
      </c>
      <c r="L529" s="1" t="s">
        <v>37</v>
      </c>
      <c r="M529" s="1" t="s">
        <v>26</v>
      </c>
      <c r="N529" s="3">
        <v>44986</v>
      </c>
      <c r="O529" s="3" t="str">
        <f t="shared" si="17"/>
        <v>Mar</v>
      </c>
      <c r="P529" s="12" t="s">
        <v>65</v>
      </c>
    </row>
    <row r="530" spans="1:16" x14ac:dyDescent="0.25">
      <c r="A530" s="11" t="s">
        <v>602</v>
      </c>
      <c r="B530" s="1" t="s">
        <v>114</v>
      </c>
      <c r="C530" s="2" t="s">
        <v>28</v>
      </c>
      <c r="D530" s="1" t="s">
        <v>29</v>
      </c>
      <c r="E530" s="1" t="s">
        <v>24</v>
      </c>
      <c r="F530" s="2" t="s">
        <v>25</v>
      </c>
      <c r="G530" s="1">
        <v>20</v>
      </c>
      <c r="H530" s="1">
        <f t="shared" si="16"/>
        <v>38546</v>
      </c>
      <c r="I530" s="2">
        <v>770920</v>
      </c>
      <c r="J530" s="6">
        <v>0</v>
      </c>
      <c r="K530" s="8">
        <v>770920</v>
      </c>
      <c r="L530" s="2" t="s">
        <v>49</v>
      </c>
      <c r="M530" s="2" t="s">
        <v>64</v>
      </c>
      <c r="N530" s="4">
        <v>45037</v>
      </c>
      <c r="O530" s="3" t="str">
        <f t="shared" si="17"/>
        <v>Apr</v>
      </c>
      <c r="P530" s="13" t="s">
        <v>83</v>
      </c>
    </row>
    <row r="531" spans="1:16" x14ac:dyDescent="0.25">
      <c r="A531" s="10" t="s">
        <v>603</v>
      </c>
      <c r="B531" s="1" t="s">
        <v>157</v>
      </c>
      <c r="C531" s="1" t="s">
        <v>15</v>
      </c>
      <c r="D531" s="1" t="s">
        <v>16</v>
      </c>
      <c r="E531" s="1" t="s">
        <v>17</v>
      </c>
      <c r="F531" s="1" t="s">
        <v>73</v>
      </c>
      <c r="G531" s="1">
        <v>3</v>
      </c>
      <c r="H531" s="1">
        <f t="shared" si="16"/>
        <v>28218</v>
      </c>
      <c r="I531" s="1">
        <v>84654</v>
      </c>
      <c r="J531" s="6">
        <v>0.15000000000000008</v>
      </c>
      <c r="K531" s="7">
        <v>71955.899999999994</v>
      </c>
      <c r="L531" s="1" t="s">
        <v>37</v>
      </c>
      <c r="M531" s="1" t="s">
        <v>20</v>
      </c>
      <c r="N531" s="3">
        <v>45241</v>
      </c>
      <c r="O531" s="3" t="str">
        <f t="shared" si="17"/>
        <v>Nov</v>
      </c>
      <c r="P531" s="12" t="s">
        <v>21</v>
      </c>
    </row>
    <row r="532" spans="1:16" x14ac:dyDescent="0.25">
      <c r="A532" s="11" t="s">
        <v>146</v>
      </c>
      <c r="B532" s="1" t="s">
        <v>157</v>
      </c>
      <c r="C532" s="2" t="s">
        <v>15</v>
      </c>
      <c r="D532" s="1" t="s">
        <v>212</v>
      </c>
      <c r="E532" s="1" t="s">
        <v>24</v>
      </c>
      <c r="F532" s="2" t="s">
        <v>71</v>
      </c>
      <c r="G532" s="1">
        <v>11</v>
      </c>
      <c r="H532" s="1">
        <f t="shared" si="16"/>
        <v>65946</v>
      </c>
      <c r="I532" s="2">
        <v>725406</v>
      </c>
      <c r="J532" s="6">
        <v>0.15000000000000002</v>
      </c>
      <c r="K532" s="8">
        <v>616595.1</v>
      </c>
      <c r="L532" s="2" t="s">
        <v>60</v>
      </c>
      <c r="M532" s="2" t="s">
        <v>26</v>
      </c>
      <c r="N532" s="4">
        <v>45089</v>
      </c>
      <c r="O532" s="3" t="str">
        <f t="shared" si="17"/>
        <v>Jun</v>
      </c>
      <c r="P532" s="13" t="s">
        <v>55</v>
      </c>
    </row>
    <row r="533" spans="1:16" x14ac:dyDescent="0.25">
      <c r="A533" s="10" t="s">
        <v>604</v>
      </c>
      <c r="B533" s="1" t="s">
        <v>62</v>
      </c>
      <c r="C533" s="1" t="s">
        <v>28</v>
      </c>
      <c r="D533" s="1" t="s">
        <v>29</v>
      </c>
      <c r="E533" s="1" t="s">
        <v>24</v>
      </c>
      <c r="F533" s="1" t="s">
        <v>25</v>
      </c>
      <c r="G533" s="1">
        <v>16</v>
      </c>
      <c r="H533" s="1">
        <f t="shared" si="16"/>
        <v>69553</v>
      </c>
      <c r="I533" s="1">
        <v>1112848</v>
      </c>
      <c r="J533" s="6">
        <v>4.999999999999992E-2</v>
      </c>
      <c r="K533" s="7">
        <v>1057205.6000000001</v>
      </c>
      <c r="L533" s="1" t="s">
        <v>19</v>
      </c>
      <c r="M533" s="1" t="s">
        <v>38</v>
      </c>
      <c r="N533" s="3">
        <v>45017</v>
      </c>
      <c r="O533" s="3" t="str">
        <f t="shared" si="17"/>
        <v>Apr</v>
      </c>
      <c r="P533" s="12" t="s">
        <v>39</v>
      </c>
    </row>
    <row r="534" spans="1:16" x14ac:dyDescent="0.25">
      <c r="A534" s="11" t="s">
        <v>605</v>
      </c>
      <c r="B534" s="1" t="s">
        <v>702</v>
      </c>
      <c r="C534" s="2" t="s">
        <v>51</v>
      </c>
      <c r="D534" s="1" t="s">
        <v>16</v>
      </c>
      <c r="E534" s="1" t="s">
        <v>43</v>
      </c>
      <c r="F534" s="2" t="s">
        <v>142</v>
      </c>
      <c r="G534" s="1">
        <v>9</v>
      </c>
      <c r="H534" s="1">
        <f t="shared" si="16"/>
        <v>45189</v>
      </c>
      <c r="I534" s="2">
        <v>406701</v>
      </c>
      <c r="J534" s="6">
        <v>9.9999999999999936E-2</v>
      </c>
      <c r="K534" s="8">
        <v>366030.9</v>
      </c>
      <c r="L534" s="2" t="s">
        <v>60</v>
      </c>
      <c r="M534" s="2" t="s">
        <v>20</v>
      </c>
      <c r="N534" s="4">
        <v>44981</v>
      </c>
      <c r="O534" s="3" t="str">
        <f t="shared" si="17"/>
        <v>Feb</v>
      </c>
      <c r="P534" s="13" t="s">
        <v>32</v>
      </c>
    </row>
    <row r="535" spans="1:16" x14ac:dyDescent="0.25">
      <c r="A535" s="10" t="s">
        <v>606</v>
      </c>
      <c r="B535" s="1" t="s">
        <v>85</v>
      </c>
      <c r="C535" s="1" t="s">
        <v>42</v>
      </c>
      <c r="D535" s="1" t="s">
        <v>29</v>
      </c>
      <c r="E535" s="1" t="s">
        <v>17</v>
      </c>
      <c r="F535" s="1" t="s">
        <v>73</v>
      </c>
      <c r="G535" s="1">
        <v>16</v>
      </c>
      <c r="H535" s="1">
        <f t="shared" si="16"/>
        <v>77063</v>
      </c>
      <c r="I535" s="1">
        <v>1233008</v>
      </c>
      <c r="J535" s="6">
        <v>4.9999999999999926E-2</v>
      </c>
      <c r="K535" s="7">
        <v>1171357.6000000001</v>
      </c>
      <c r="L535" s="1" t="s">
        <v>37</v>
      </c>
      <c r="M535" s="1" t="s">
        <v>38</v>
      </c>
      <c r="N535" s="3">
        <v>45194</v>
      </c>
      <c r="O535" s="3" t="str">
        <f t="shared" si="17"/>
        <v>Sep</v>
      </c>
      <c r="P535" s="12" t="s">
        <v>122</v>
      </c>
    </row>
    <row r="536" spans="1:16" x14ac:dyDescent="0.25">
      <c r="A536" s="11" t="s">
        <v>607</v>
      </c>
      <c r="B536" s="1" t="s">
        <v>103</v>
      </c>
      <c r="C536" s="2" t="s">
        <v>63</v>
      </c>
      <c r="D536" s="1" t="s">
        <v>29</v>
      </c>
      <c r="E536" s="1" t="s">
        <v>35</v>
      </c>
      <c r="F536" s="2" t="s">
        <v>36</v>
      </c>
      <c r="G536" s="1">
        <v>13</v>
      </c>
      <c r="H536" s="1">
        <f t="shared" si="16"/>
        <v>340479</v>
      </c>
      <c r="I536" s="2">
        <v>4426227</v>
      </c>
      <c r="J536" s="6">
        <v>0.19999999999999998</v>
      </c>
      <c r="K536" s="8">
        <v>3540981.6</v>
      </c>
      <c r="L536" s="2" t="s">
        <v>60</v>
      </c>
      <c r="M536" s="2" t="s">
        <v>26</v>
      </c>
      <c r="N536" s="4">
        <v>45047</v>
      </c>
      <c r="O536" s="3" t="str">
        <f t="shared" si="17"/>
        <v>May</v>
      </c>
      <c r="P536" s="13" t="s">
        <v>55</v>
      </c>
    </row>
    <row r="537" spans="1:16" x14ac:dyDescent="0.25">
      <c r="A537" s="10" t="s">
        <v>608</v>
      </c>
      <c r="B537" s="1" t="s">
        <v>101</v>
      </c>
      <c r="C537" s="1" t="s">
        <v>70</v>
      </c>
      <c r="D537" s="1" t="s">
        <v>16</v>
      </c>
      <c r="E537" s="1" t="s">
        <v>43</v>
      </c>
      <c r="F537" s="1" t="s">
        <v>44</v>
      </c>
      <c r="G537" s="1">
        <v>6</v>
      </c>
      <c r="H537" s="1">
        <f t="shared" si="16"/>
        <v>79593</v>
      </c>
      <c r="I537" s="1">
        <v>477558</v>
      </c>
      <c r="J537" s="6">
        <v>9.9999999999999978E-2</v>
      </c>
      <c r="K537" s="7">
        <v>429802.2</v>
      </c>
      <c r="L537" s="1" t="s">
        <v>49</v>
      </c>
      <c r="M537" s="1" t="s">
        <v>20</v>
      </c>
      <c r="N537" s="3">
        <v>45112</v>
      </c>
      <c r="O537" s="3" t="str">
        <f t="shared" si="17"/>
        <v>Jul</v>
      </c>
      <c r="P537" s="12" t="s">
        <v>45</v>
      </c>
    </row>
    <row r="538" spans="1:16" x14ac:dyDescent="0.25">
      <c r="A538" s="11" t="s">
        <v>609</v>
      </c>
      <c r="B538" s="1" t="s">
        <v>53</v>
      </c>
      <c r="C538" s="2" t="s">
        <v>54</v>
      </c>
      <c r="D538" s="1" t="s">
        <v>29</v>
      </c>
      <c r="E538" s="1" t="s">
        <v>35</v>
      </c>
      <c r="F538" s="2" t="s">
        <v>108</v>
      </c>
      <c r="G538" s="1">
        <v>15</v>
      </c>
      <c r="H538" s="1">
        <f t="shared" si="16"/>
        <v>493281</v>
      </c>
      <c r="I538" s="2">
        <v>7399215</v>
      </c>
      <c r="J538" s="6">
        <v>0</v>
      </c>
      <c r="K538" s="8">
        <v>7399215</v>
      </c>
      <c r="L538" s="2" t="s">
        <v>19</v>
      </c>
      <c r="M538" s="2" t="s">
        <v>20</v>
      </c>
      <c r="N538" s="4">
        <v>44928</v>
      </c>
      <c r="O538" s="3" t="str">
        <f t="shared" si="17"/>
        <v>Jan</v>
      </c>
      <c r="P538" s="13" t="s">
        <v>65</v>
      </c>
    </row>
    <row r="539" spans="1:16" x14ac:dyDescent="0.25">
      <c r="A539" s="10" t="s">
        <v>610</v>
      </c>
      <c r="B539" s="1" t="s">
        <v>76</v>
      </c>
      <c r="C539" s="1" t="s">
        <v>15</v>
      </c>
      <c r="D539" s="1" t="s">
        <v>16</v>
      </c>
      <c r="E539" s="1" t="s">
        <v>24</v>
      </c>
      <c r="F539" s="1" t="s">
        <v>48</v>
      </c>
      <c r="G539" s="1">
        <v>20</v>
      </c>
      <c r="H539" s="1">
        <f t="shared" si="16"/>
        <v>30751</v>
      </c>
      <c r="I539" s="1">
        <v>615020</v>
      </c>
      <c r="J539" s="6">
        <v>0.05</v>
      </c>
      <c r="K539" s="7">
        <v>584269</v>
      </c>
      <c r="L539" s="1" t="s">
        <v>60</v>
      </c>
      <c r="M539" s="1" t="s">
        <v>64</v>
      </c>
      <c r="N539" s="3">
        <v>45080</v>
      </c>
      <c r="O539" s="3" t="str">
        <f t="shared" si="17"/>
        <v>Jun</v>
      </c>
      <c r="P539" s="12" t="s">
        <v>32</v>
      </c>
    </row>
    <row r="540" spans="1:16" x14ac:dyDescent="0.25">
      <c r="A540" s="11" t="s">
        <v>611</v>
      </c>
      <c r="B540" s="1" t="s">
        <v>34</v>
      </c>
      <c r="C540" s="2" t="s">
        <v>28</v>
      </c>
      <c r="D540" s="1" t="s">
        <v>29</v>
      </c>
      <c r="E540" s="1" t="s">
        <v>30</v>
      </c>
      <c r="F540" s="2" t="s">
        <v>73</v>
      </c>
      <c r="G540" s="1">
        <v>7</v>
      </c>
      <c r="H540" s="1">
        <f t="shared" si="16"/>
        <v>75592</v>
      </c>
      <c r="I540" s="2">
        <v>529144</v>
      </c>
      <c r="J540" s="6">
        <v>0.10000000000000005</v>
      </c>
      <c r="K540" s="8">
        <v>476229.6</v>
      </c>
      <c r="L540" s="2" t="s">
        <v>19</v>
      </c>
      <c r="M540" s="2" t="s">
        <v>38</v>
      </c>
      <c r="N540" s="4">
        <v>44977</v>
      </c>
      <c r="O540" s="3" t="str">
        <f t="shared" si="17"/>
        <v>Feb</v>
      </c>
      <c r="P540" s="13" t="s">
        <v>74</v>
      </c>
    </row>
    <row r="541" spans="1:16" x14ac:dyDescent="0.25">
      <c r="A541" s="10" t="s">
        <v>612</v>
      </c>
      <c r="B541" s="1" t="s">
        <v>90</v>
      </c>
      <c r="C541" s="1" t="s">
        <v>51</v>
      </c>
      <c r="D541" s="1" t="s">
        <v>16</v>
      </c>
      <c r="E541" s="1" t="s">
        <v>17</v>
      </c>
      <c r="F541" s="1" t="s">
        <v>73</v>
      </c>
      <c r="G541" s="1">
        <v>12</v>
      </c>
      <c r="H541" s="1">
        <f t="shared" si="16"/>
        <v>46015</v>
      </c>
      <c r="I541" s="1">
        <v>552180</v>
      </c>
      <c r="J541" s="6">
        <v>0.15</v>
      </c>
      <c r="K541" s="7">
        <v>469353</v>
      </c>
      <c r="L541" s="1" t="s">
        <v>60</v>
      </c>
      <c r="M541" s="1" t="s">
        <v>38</v>
      </c>
      <c r="N541" s="3">
        <v>45170</v>
      </c>
      <c r="O541" s="3" t="str">
        <f t="shared" si="17"/>
        <v>Sep</v>
      </c>
      <c r="P541" s="12" t="s">
        <v>32</v>
      </c>
    </row>
    <row r="542" spans="1:16" x14ac:dyDescent="0.25">
      <c r="A542" s="10" t="s">
        <v>613</v>
      </c>
      <c r="B542" s="1" t="s">
        <v>119</v>
      </c>
      <c r="C542" s="1" t="s">
        <v>58</v>
      </c>
      <c r="D542" s="1" t="s">
        <v>29</v>
      </c>
      <c r="E542" s="1" t="s">
        <v>24</v>
      </c>
      <c r="F542" s="1" t="s">
        <v>48</v>
      </c>
      <c r="G542" s="1">
        <v>20</v>
      </c>
      <c r="H542" s="1">
        <f t="shared" si="16"/>
        <v>298204</v>
      </c>
      <c r="I542" s="1">
        <v>5964080</v>
      </c>
      <c r="J542" s="6">
        <v>0.1</v>
      </c>
      <c r="K542" s="7">
        <v>5367672</v>
      </c>
      <c r="L542" s="1" t="s">
        <v>49</v>
      </c>
      <c r="M542" s="1" t="s">
        <v>20</v>
      </c>
      <c r="N542" s="3">
        <v>45067</v>
      </c>
      <c r="O542" s="3" t="str">
        <f t="shared" si="17"/>
        <v>May</v>
      </c>
      <c r="P542" s="12" t="s">
        <v>77</v>
      </c>
    </row>
    <row r="543" spans="1:16" x14ac:dyDescent="0.25">
      <c r="A543" s="11" t="s">
        <v>614</v>
      </c>
      <c r="B543" s="1" t="s">
        <v>34</v>
      </c>
      <c r="C543" s="2" t="s">
        <v>42</v>
      </c>
      <c r="D543" s="1" t="s">
        <v>29</v>
      </c>
      <c r="E543" s="1" t="s">
        <v>35</v>
      </c>
      <c r="F543" s="2" t="s">
        <v>36</v>
      </c>
      <c r="G543" s="1">
        <v>13</v>
      </c>
      <c r="H543" s="1">
        <f t="shared" si="16"/>
        <v>64270</v>
      </c>
      <c r="I543" s="2">
        <v>835510</v>
      </c>
      <c r="J543" s="6">
        <v>0.2</v>
      </c>
      <c r="K543" s="8">
        <v>668408</v>
      </c>
      <c r="L543" s="2" t="s">
        <v>702</v>
      </c>
      <c r="M543" s="2" t="s">
        <v>26</v>
      </c>
      <c r="N543" s="4">
        <v>44983</v>
      </c>
      <c r="O543" s="3" t="str">
        <f t="shared" si="17"/>
        <v>Feb</v>
      </c>
      <c r="P543" s="13" t="s">
        <v>21</v>
      </c>
    </row>
    <row r="544" spans="1:16" x14ac:dyDescent="0.25">
      <c r="A544" s="10" t="s">
        <v>615</v>
      </c>
      <c r="B544" s="1" t="s">
        <v>92</v>
      </c>
      <c r="C544" s="1" t="s">
        <v>15</v>
      </c>
      <c r="D544" s="1" t="s">
        <v>16</v>
      </c>
      <c r="E544" s="1" t="s">
        <v>17</v>
      </c>
      <c r="F544" s="1" t="s">
        <v>82</v>
      </c>
      <c r="G544" s="1">
        <v>10</v>
      </c>
      <c r="H544" s="1">
        <f t="shared" si="16"/>
        <v>16108</v>
      </c>
      <c r="I544" s="1">
        <v>161080</v>
      </c>
      <c r="J544" s="6">
        <v>0.05</v>
      </c>
      <c r="K544" s="7">
        <v>153026</v>
      </c>
      <c r="L544" s="1" t="s">
        <v>60</v>
      </c>
      <c r="M544" s="1" t="s">
        <v>20</v>
      </c>
      <c r="N544" s="3">
        <v>45079</v>
      </c>
      <c r="O544" s="3" t="str">
        <f t="shared" si="17"/>
        <v>Jun</v>
      </c>
      <c r="P544" s="12" t="s">
        <v>77</v>
      </c>
    </row>
    <row r="545" spans="1:16" x14ac:dyDescent="0.25">
      <c r="A545" s="11" t="s">
        <v>616</v>
      </c>
      <c r="B545" s="1" t="s">
        <v>87</v>
      </c>
      <c r="C545" s="2" t="s">
        <v>47</v>
      </c>
      <c r="D545" s="1" t="s">
        <v>16</v>
      </c>
      <c r="E545" s="1" t="s">
        <v>30</v>
      </c>
      <c r="F545" s="2" t="s">
        <v>31</v>
      </c>
      <c r="G545" s="1">
        <v>2</v>
      </c>
      <c r="H545" s="1">
        <f t="shared" si="16"/>
        <v>33545</v>
      </c>
      <c r="I545" s="2">
        <v>67090</v>
      </c>
      <c r="J545" s="6">
        <v>0</v>
      </c>
      <c r="K545" s="8">
        <v>67090</v>
      </c>
      <c r="L545" s="2" t="s">
        <v>37</v>
      </c>
      <c r="M545" s="2" t="s">
        <v>20</v>
      </c>
      <c r="N545" s="4">
        <v>45078</v>
      </c>
      <c r="O545" s="3" t="str">
        <f t="shared" si="17"/>
        <v>Jun</v>
      </c>
      <c r="P545" s="13" t="s">
        <v>65</v>
      </c>
    </row>
    <row r="546" spans="1:16" x14ac:dyDescent="0.25">
      <c r="A546" s="10" t="s">
        <v>617</v>
      </c>
      <c r="B546" s="1" t="s">
        <v>85</v>
      </c>
      <c r="C546" s="1" t="s">
        <v>54</v>
      </c>
      <c r="D546" s="1" t="s">
        <v>29</v>
      </c>
      <c r="E546" s="1" t="s">
        <v>35</v>
      </c>
      <c r="F546" s="1" t="s">
        <v>68</v>
      </c>
      <c r="G546" s="1">
        <v>15</v>
      </c>
      <c r="H546" s="1">
        <f t="shared" si="16"/>
        <v>473868</v>
      </c>
      <c r="I546" s="1">
        <v>7108020</v>
      </c>
      <c r="J546" s="6">
        <v>0.15</v>
      </c>
      <c r="K546" s="7">
        <v>6041817</v>
      </c>
      <c r="L546" s="1" t="s">
        <v>37</v>
      </c>
      <c r="M546" s="1" t="s">
        <v>38</v>
      </c>
      <c r="N546" s="3">
        <v>44932</v>
      </c>
      <c r="O546" s="3" t="str">
        <f t="shared" si="17"/>
        <v>Jan</v>
      </c>
      <c r="P546" s="12" t="s">
        <v>21</v>
      </c>
    </row>
    <row r="547" spans="1:16" x14ac:dyDescent="0.25">
      <c r="A547" s="10" t="s">
        <v>618</v>
      </c>
      <c r="B547" s="1" t="s">
        <v>76</v>
      </c>
      <c r="C547" s="1" t="s">
        <v>81</v>
      </c>
      <c r="D547" s="1" t="s">
        <v>29</v>
      </c>
      <c r="E547" s="1" t="s">
        <v>35</v>
      </c>
      <c r="F547" s="1" t="s">
        <v>36</v>
      </c>
      <c r="G547" s="1">
        <v>4</v>
      </c>
      <c r="H547" s="1">
        <f t="shared" si="16"/>
        <v>46071</v>
      </c>
      <c r="I547" s="1">
        <v>184284</v>
      </c>
      <c r="J547" s="6">
        <v>9.9999999999999964E-2</v>
      </c>
      <c r="K547" s="7">
        <v>165855.6</v>
      </c>
      <c r="L547" s="1" t="s">
        <v>37</v>
      </c>
      <c r="M547" s="1" t="s">
        <v>38</v>
      </c>
      <c r="N547" s="3">
        <v>45252</v>
      </c>
      <c r="O547" s="3" t="str">
        <f t="shared" si="17"/>
        <v>Nov</v>
      </c>
      <c r="P547" s="12" t="s">
        <v>21</v>
      </c>
    </row>
    <row r="548" spans="1:16" x14ac:dyDescent="0.25">
      <c r="A548" s="11" t="s">
        <v>619</v>
      </c>
      <c r="B548" s="1" t="s">
        <v>85</v>
      </c>
      <c r="C548" s="2" t="s">
        <v>58</v>
      </c>
      <c r="D548" s="1" t="s">
        <v>29</v>
      </c>
      <c r="E548" s="1" t="s">
        <v>43</v>
      </c>
      <c r="F548" s="2" t="s">
        <v>142</v>
      </c>
      <c r="G548" s="1">
        <v>10</v>
      </c>
      <c r="H548" s="1">
        <f t="shared" si="16"/>
        <v>161413</v>
      </c>
      <c r="I548" s="2">
        <v>1614130</v>
      </c>
      <c r="J548" s="6">
        <v>0.15</v>
      </c>
      <c r="K548" s="8">
        <v>1372010.5</v>
      </c>
      <c r="L548" s="2" t="s">
        <v>60</v>
      </c>
      <c r="M548" s="2" t="s">
        <v>64</v>
      </c>
      <c r="N548" s="4">
        <v>44940</v>
      </c>
      <c r="O548" s="3" t="str">
        <f t="shared" si="17"/>
        <v>Jan</v>
      </c>
      <c r="P548" s="13" t="s">
        <v>77</v>
      </c>
    </row>
    <row r="549" spans="1:16" x14ac:dyDescent="0.25">
      <c r="A549" s="10" t="s">
        <v>620</v>
      </c>
      <c r="B549" s="1" t="s">
        <v>76</v>
      </c>
      <c r="C549" s="1" t="s">
        <v>51</v>
      </c>
      <c r="D549" s="1" t="s">
        <v>16</v>
      </c>
      <c r="E549" s="1" t="s">
        <v>35</v>
      </c>
      <c r="F549" s="1" t="s">
        <v>36</v>
      </c>
      <c r="G549" s="1">
        <v>18</v>
      </c>
      <c r="H549" s="1">
        <f t="shared" si="16"/>
        <v>76063</v>
      </c>
      <c r="I549" s="1">
        <v>1369134</v>
      </c>
      <c r="J549" s="6">
        <v>9.9999999999999936E-2</v>
      </c>
      <c r="K549" s="7">
        <v>1232220.6000000001</v>
      </c>
      <c r="L549" s="1" t="s">
        <v>60</v>
      </c>
      <c r="M549" s="1" t="s">
        <v>20</v>
      </c>
      <c r="N549" s="3">
        <v>45147</v>
      </c>
      <c r="O549" s="3" t="str">
        <f t="shared" si="17"/>
        <v>Aug</v>
      </c>
      <c r="P549" s="12" t="s">
        <v>55</v>
      </c>
    </row>
    <row r="550" spans="1:16" x14ac:dyDescent="0.25">
      <c r="A550" s="11" t="s">
        <v>621</v>
      </c>
      <c r="B550" s="1" t="s">
        <v>23</v>
      </c>
      <c r="C550" s="2" t="s">
        <v>15</v>
      </c>
      <c r="D550" s="1" t="s">
        <v>16</v>
      </c>
      <c r="E550" s="1" t="s">
        <v>30</v>
      </c>
      <c r="F550" s="2" t="s">
        <v>31</v>
      </c>
      <c r="G550" s="1">
        <v>19</v>
      </c>
      <c r="H550" s="1">
        <f t="shared" si="16"/>
        <v>39136</v>
      </c>
      <c r="I550" s="2">
        <v>743584</v>
      </c>
      <c r="J550" s="6">
        <v>0</v>
      </c>
      <c r="K550" s="8">
        <v>743584</v>
      </c>
      <c r="L550" s="2" t="s">
        <v>60</v>
      </c>
      <c r="M550" s="2" t="s">
        <v>64</v>
      </c>
      <c r="N550" s="4">
        <v>45210</v>
      </c>
      <c r="O550" s="3" t="str">
        <f t="shared" si="17"/>
        <v>Oct</v>
      </c>
      <c r="P550" s="13" t="s">
        <v>74</v>
      </c>
    </row>
    <row r="551" spans="1:16" x14ac:dyDescent="0.25">
      <c r="A551" s="10" t="s">
        <v>622</v>
      </c>
      <c r="B551" s="1" t="s">
        <v>114</v>
      </c>
      <c r="C551" s="1" t="s">
        <v>58</v>
      </c>
      <c r="D551" s="1" t="s">
        <v>29</v>
      </c>
      <c r="E551" s="1" t="s">
        <v>24</v>
      </c>
      <c r="F551" s="1" t="s">
        <v>48</v>
      </c>
      <c r="G551" s="1">
        <v>16</v>
      </c>
      <c r="H551" s="1">
        <f t="shared" si="16"/>
        <v>492836</v>
      </c>
      <c r="I551" s="1">
        <v>7885376</v>
      </c>
      <c r="J551" s="6">
        <v>4.9999999999999975E-2</v>
      </c>
      <c r="K551" s="7">
        <v>7491107.2000000002</v>
      </c>
      <c r="L551" s="1" t="s">
        <v>60</v>
      </c>
      <c r="M551" s="1" t="s">
        <v>20</v>
      </c>
      <c r="N551" s="3">
        <v>45000</v>
      </c>
      <c r="O551" s="3" t="str">
        <f t="shared" si="17"/>
        <v>Mar</v>
      </c>
      <c r="P551" s="12" t="s">
        <v>32</v>
      </c>
    </row>
    <row r="552" spans="1:16" x14ac:dyDescent="0.25">
      <c r="A552" s="11" t="s">
        <v>287</v>
      </c>
      <c r="B552" s="1" t="s">
        <v>62</v>
      </c>
      <c r="C552" s="2" t="s">
        <v>51</v>
      </c>
      <c r="D552" s="1" t="s">
        <v>16</v>
      </c>
      <c r="E552" s="1" t="s">
        <v>30</v>
      </c>
      <c r="F552" s="2" t="s">
        <v>125</v>
      </c>
      <c r="G552" s="1">
        <v>14</v>
      </c>
      <c r="H552" s="1">
        <f t="shared" si="16"/>
        <v>61438</v>
      </c>
      <c r="I552" s="2">
        <v>860132</v>
      </c>
      <c r="J552" s="6">
        <v>9.999999999999995E-2</v>
      </c>
      <c r="K552" s="8">
        <v>774118.8</v>
      </c>
      <c r="L552" s="2" t="s">
        <v>60</v>
      </c>
      <c r="M552" s="2" t="s">
        <v>26</v>
      </c>
      <c r="N552" s="4">
        <v>45193</v>
      </c>
      <c r="O552" s="3" t="str">
        <f t="shared" si="17"/>
        <v>Sep</v>
      </c>
      <c r="P552" s="13" t="s">
        <v>65</v>
      </c>
    </row>
    <row r="553" spans="1:16" x14ac:dyDescent="0.25">
      <c r="A553" s="10" t="s">
        <v>623</v>
      </c>
      <c r="B553" s="1" t="s">
        <v>80</v>
      </c>
      <c r="C553" s="1" t="s">
        <v>63</v>
      </c>
      <c r="D553" s="1" t="s">
        <v>29</v>
      </c>
      <c r="E553" s="1" t="s">
        <v>35</v>
      </c>
      <c r="F553" s="1" t="s">
        <v>36</v>
      </c>
      <c r="G553" s="1">
        <v>11</v>
      </c>
      <c r="H553" s="1">
        <f t="shared" si="16"/>
        <v>277700</v>
      </c>
      <c r="I553" s="1">
        <v>3054700</v>
      </c>
      <c r="J553" s="6">
        <v>0.05</v>
      </c>
      <c r="K553" s="7">
        <v>2901965</v>
      </c>
      <c r="L553" s="1" t="s">
        <v>49</v>
      </c>
      <c r="M553" s="1" t="s">
        <v>38</v>
      </c>
      <c r="N553" s="3">
        <v>45117</v>
      </c>
      <c r="O553" s="3" t="str">
        <f t="shared" si="17"/>
        <v>Jul</v>
      </c>
      <c r="P553" s="12" t="s">
        <v>122</v>
      </c>
    </row>
    <row r="554" spans="1:16" x14ac:dyDescent="0.25">
      <c r="A554" s="11" t="s">
        <v>624</v>
      </c>
      <c r="B554" s="1" t="s">
        <v>53</v>
      </c>
      <c r="C554" s="2" t="s">
        <v>54</v>
      </c>
      <c r="D554" s="1" t="s">
        <v>29</v>
      </c>
      <c r="E554" s="1" t="s">
        <v>17</v>
      </c>
      <c r="F554" s="2" t="s">
        <v>82</v>
      </c>
      <c r="G554" s="1">
        <v>2</v>
      </c>
      <c r="H554" s="1">
        <f t="shared" si="16"/>
        <v>162425</v>
      </c>
      <c r="I554" s="2">
        <v>324850</v>
      </c>
      <c r="J554" s="6">
        <v>0.2</v>
      </c>
      <c r="K554" s="8">
        <v>259880</v>
      </c>
      <c r="L554" s="2" t="s">
        <v>60</v>
      </c>
      <c r="M554" s="2" t="s">
        <v>64</v>
      </c>
      <c r="N554" s="4">
        <v>45028</v>
      </c>
      <c r="O554" s="3" t="str">
        <f t="shared" si="17"/>
        <v>Apr</v>
      </c>
      <c r="P554" s="13" t="s">
        <v>55</v>
      </c>
    </row>
    <row r="555" spans="1:16" x14ac:dyDescent="0.25">
      <c r="A555" s="10" t="s">
        <v>625</v>
      </c>
      <c r="B555" s="1" t="s">
        <v>67</v>
      </c>
      <c r="C555" s="1" t="s">
        <v>58</v>
      </c>
      <c r="D555" s="1" t="s">
        <v>29</v>
      </c>
      <c r="E555" s="1" t="s">
        <v>35</v>
      </c>
      <c r="F555" s="1" t="s">
        <v>108</v>
      </c>
      <c r="G555" s="1">
        <v>19</v>
      </c>
      <c r="H555" s="1">
        <f t="shared" si="16"/>
        <v>269351</v>
      </c>
      <c r="I555" s="1">
        <v>5117669</v>
      </c>
      <c r="J555" s="6">
        <v>0.10000000000000007</v>
      </c>
      <c r="K555" s="7">
        <v>4605902.0999999996</v>
      </c>
      <c r="L555" s="1" t="s">
        <v>37</v>
      </c>
      <c r="M555" s="1" t="s">
        <v>26</v>
      </c>
      <c r="N555" s="3">
        <v>45237</v>
      </c>
      <c r="O555" s="3" t="str">
        <f t="shared" si="17"/>
        <v>Nov</v>
      </c>
      <c r="P555" s="12" t="s">
        <v>39</v>
      </c>
    </row>
    <row r="556" spans="1:16" x14ac:dyDescent="0.25">
      <c r="A556" s="11" t="s">
        <v>626</v>
      </c>
      <c r="B556" s="1" t="s">
        <v>62</v>
      </c>
      <c r="C556" s="2" t="s">
        <v>63</v>
      </c>
      <c r="D556" s="1" t="s">
        <v>29</v>
      </c>
      <c r="E556" s="1" t="s">
        <v>35</v>
      </c>
      <c r="F556" s="2" t="s">
        <v>36</v>
      </c>
      <c r="G556" s="1">
        <v>7</v>
      </c>
      <c r="H556" s="1">
        <f t="shared" si="16"/>
        <v>271981</v>
      </c>
      <c r="I556" s="2">
        <v>1903867</v>
      </c>
      <c r="J556" s="6">
        <v>0.19999999999999996</v>
      </c>
      <c r="K556" s="8">
        <v>1523093.6</v>
      </c>
      <c r="L556" s="2" t="s">
        <v>60</v>
      </c>
      <c r="M556" s="2" t="s">
        <v>26</v>
      </c>
      <c r="N556" s="4">
        <v>45031</v>
      </c>
      <c r="O556" s="3" t="str">
        <f t="shared" si="17"/>
        <v>Apr</v>
      </c>
      <c r="P556" s="13" t="s">
        <v>74</v>
      </c>
    </row>
    <row r="557" spans="1:16" x14ac:dyDescent="0.25">
      <c r="A557" s="10" t="s">
        <v>627</v>
      </c>
      <c r="B557" s="1" t="s">
        <v>23</v>
      </c>
      <c r="C557" s="1" t="s">
        <v>54</v>
      </c>
      <c r="D557" s="1" t="s">
        <v>29</v>
      </c>
      <c r="E557" s="1" t="s">
        <v>35</v>
      </c>
      <c r="F557" s="1" t="s">
        <v>108</v>
      </c>
      <c r="G557" s="1">
        <v>7</v>
      </c>
      <c r="H557" s="1">
        <f t="shared" si="16"/>
        <v>209076</v>
      </c>
      <c r="I557" s="1">
        <v>1463532</v>
      </c>
      <c r="J557" s="6">
        <v>5.0000000000000065E-2</v>
      </c>
      <c r="K557" s="7">
        <v>1390355.4</v>
      </c>
      <c r="L557" s="1" t="s">
        <v>60</v>
      </c>
      <c r="M557" s="1" t="s">
        <v>38</v>
      </c>
      <c r="N557" s="3">
        <v>44968</v>
      </c>
      <c r="O557" s="3" t="str">
        <f t="shared" si="17"/>
        <v>Feb</v>
      </c>
      <c r="P557" s="12" t="s">
        <v>39</v>
      </c>
    </row>
    <row r="558" spans="1:16" x14ac:dyDescent="0.25">
      <c r="A558" s="11" t="s">
        <v>628</v>
      </c>
      <c r="B558" s="1" t="s">
        <v>95</v>
      </c>
      <c r="C558" s="2" t="s">
        <v>28</v>
      </c>
      <c r="D558" s="1" t="s">
        <v>29</v>
      </c>
      <c r="E558" s="1" t="s">
        <v>30</v>
      </c>
      <c r="F558" s="2" t="s">
        <v>59</v>
      </c>
      <c r="G558" s="1">
        <v>5</v>
      </c>
      <c r="H558" s="1">
        <f t="shared" si="16"/>
        <v>74526</v>
      </c>
      <c r="I558" s="2">
        <v>372630</v>
      </c>
      <c r="J558" s="6">
        <v>0.15</v>
      </c>
      <c r="K558" s="8">
        <v>316735.5</v>
      </c>
      <c r="L558" s="2" t="s">
        <v>37</v>
      </c>
      <c r="M558" s="2" t="s">
        <v>26</v>
      </c>
      <c r="N558" s="4">
        <v>45241</v>
      </c>
      <c r="O558" s="3" t="str">
        <f t="shared" si="17"/>
        <v>Nov</v>
      </c>
      <c r="P558" s="13" t="s">
        <v>32</v>
      </c>
    </row>
    <row r="559" spans="1:16" x14ac:dyDescent="0.25">
      <c r="A559" s="10" t="s">
        <v>629</v>
      </c>
      <c r="B559" s="1" t="s">
        <v>85</v>
      </c>
      <c r="C559" s="1" t="s">
        <v>15</v>
      </c>
      <c r="D559" s="1" t="s">
        <v>16</v>
      </c>
      <c r="E559" s="1" t="s">
        <v>43</v>
      </c>
      <c r="F559" s="1" t="s">
        <v>44</v>
      </c>
      <c r="G559" s="1">
        <v>15</v>
      </c>
      <c r="H559" s="1">
        <f t="shared" si="16"/>
        <v>11764</v>
      </c>
      <c r="I559" s="1">
        <v>176460</v>
      </c>
      <c r="J559" s="6">
        <v>0.05</v>
      </c>
      <c r="K559" s="7">
        <v>167637</v>
      </c>
      <c r="L559" s="1" t="s">
        <v>60</v>
      </c>
      <c r="M559" s="1" t="s">
        <v>20</v>
      </c>
      <c r="N559" s="3">
        <v>45161</v>
      </c>
      <c r="O559" s="3" t="str">
        <f t="shared" si="17"/>
        <v>Aug</v>
      </c>
      <c r="P559" s="12" t="s">
        <v>83</v>
      </c>
    </row>
    <row r="560" spans="1:16" x14ac:dyDescent="0.25">
      <c r="A560" s="11" t="s">
        <v>630</v>
      </c>
      <c r="B560" s="1" t="s">
        <v>57</v>
      </c>
      <c r="C560" s="2" t="s">
        <v>47</v>
      </c>
      <c r="D560" s="1" t="s">
        <v>16</v>
      </c>
      <c r="E560" s="1" t="s">
        <v>43</v>
      </c>
      <c r="F560" s="2" t="s">
        <v>44</v>
      </c>
      <c r="G560" s="1">
        <v>12</v>
      </c>
      <c r="H560" s="1">
        <f t="shared" si="16"/>
        <v>25332</v>
      </c>
      <c r="I560" s="2">
        <v>303984</v>
      </c>
      <c r="J560" s="6">
        <v>0.10000000000000007</v>
      </c>
      <c r="K560" s="8">
        <v>273585.59999999998</v>
      </c>
      <c r="L560" s="2" t="s">
        <v>49</v>
      </c>
      <c r="M560" s="2" t="s">
        <v>64</v>
      </c>
      <c r="N560" s="4">
        <v>45244</v>
      </c>
      <c r="O560" s="3" t="str">
        <f t="shared" si="17"/>
        <v>Nov</v>
      </c>
      <c r="P560" s="13" t="s">
        <v>74</v>
      </c>
    </row>
    <row r="561" spans="1:16" x14ac:dyDescent="0.25">
      <c r="A561" s="10" t="s">
        <v>631</v>
      </c>
      <c r="B561" s="1" t="s">
        <v>101</v>
      </c>
      <c r="C561" s="1" t="s">
        <v>70</v>
      </c>
      <c r="D561" s="1" t="s">
        <v>16</v>
      </c>
      <c r="E561" s="1" t="s">
        <v>17</v>
      </c>
      <c r="F561" s="1" t="s">
        <v>82</v>
      </c>
      <c r="G561" s="1">
        <v>9</v>
      </c>
      <c r="H561" s="1">
        <f t="shared" si="16"/>
        <v>25866</v>
      </c>
      <c r="I561" s="1">
        <v>232794</v>
      </c>
      <c r="J561" s="6">
        <v>0</v>
      </c>
      <c r="K561" s="7">
        <v>232794</v>
      </c>
      <c r="L561" s="1" t="s">
        <v>37</v>
      </c>
      <c r="M561" s="1" t="s">
        <v>38</v>
      </c>
      <c r="N561" s="3">
        <v>45043</v>
      </c>
      <c r="O561" s="3" t="str">
        <f t="shared" si="17"/>
        <v>Apr</v>
      </c>
      <c r="P561" s="12" t="s">
        <v>83</v>
      </c>
    </row>
    <row r="562" spans="1:16" x14ac:dyDescent="0.25">
      <c r="A562" s="11" t="s">
        <v>632</v>
      </c>
      <c r="B562" s="1" t="s">
        <v>34</v>
      </c>
      <c r="C562" s="2" t="s">
        <v>81</v>
      </c>
      <c r="D562" s="1" t="s">
        <v>29</v>
      </c>
      <c r="E562" s="1" t="s">
        <v>24</v>
      </c>
      <c r="F562" s="2" t="s">
        <v>25</v>
      </c>
      <c r="G562" s="1">
        <v>4</v>
      </c>
      <c r="H562" s="1">
        <f t="shared" si="16"/>
        <v>28562</v>
      </c>
      <c r="I562" s="2">
        <v>114248</v>
      </c>
      <c r="J562" s="6">
        <v>0.20000000000000004</v>
      </c>
      <c r="K562" s="8">
        <v>91398.399999999994</v>
      </c>
      <c r="L562" s="2" t="s">
        <v>37</v>
      </c>
      <c r="M562" s="2" t="s">
        <v>26</v>
      </c>
      <c r="N562" s="4">
        <v>45092</v>
      </c>
      <c r="O562" s="3" t="str">
        <f t="shared" si="17"/>
        <v>Jun</v>
      </c>
      <c r="P562" s="13" t="s">
        <v>39</v>
      </c>
    </row>
    <row r="563" spans="1:16" x14ac:dyDescent="0.25">
      <c r="A563" s="10" t="s">
        <v>633</v>
      </c>
      <c r="B563" s="1" t="s">
        <v>85</v>
      </c>
      <c r="C563" s="1" t="s">
        <v>81</v>
      </c>
      <c r="D563" s="1" t="s">
        <v>29</v>
      </c>
      <c r="E563" s="1" t="s">
        <v>24</v>
      </c>
      <c r="F563" s="1" t="s">
        <v>71</v>
      </c>
      <c r="G563" s="1">
        <v>9</v>
      </c>
      <c r="H563" s="1">
        <f t="shared" si="16"/>
        <v>75504</v>
      </c>
      <c r="I563" s="1">
        <v>679536</v>
      </c>
      <c r="J563" s="6">
        <v>0.19999999999999993</v>
      </c>
      <c r="K563" s="7">
        <v>543628.80000000005</v>
      </c>
      <c r="L563" s="1" t="s">
        <v>37</v>
      </c>
      <c r="M563" s="1" t="s">
        <v>26</v>
      </c>
      <c r="N563" s="3">
        <v>45215</v>
      </c>
      <c r="O563" s="3" t="str">
        <f t="shared" si="17"/>
        <v>Oct</v>
      </c>
      <c r="P563" s="12" t="s">
        <v>122</v>
      </c>
    </row>
    <row r="564" spans="1:16" x14ac:dyDescent="0.25">
      <c r="A564" s="11" t="s">
        <v>634</v>
      </c>
      <c r="B564" s="1" t="s">
        <v>34</v>
      </c>
      <c r="C564" s="2" t="s">
        <v>70</v>
      </c>
      <c r="D564" s="1" t="s">
        <v>16</v>
      </c>
      <c r="E564" s="1" t="s">
        <v>17</v>
      </c>
      <c r="F564" s="2" t="s">
        <v>18</v>
      </c>
      <c r="G564" s="1">
        <v>17</v>
      </c>
      <c r="H564" s="1">
        <f t="shared" si="16"/>
        <v>40633</v>
      </c>
      <c r="I564" s="2">
        <v>690761</v>
      </c>
      <c r="J564" s="6">
        <v>9.9999999999999964E-2</v>
      </c>
      <c r="K564" s="8">
        <v>621684.9</v>
      </c>
      <c r="L564" s="2" t="s">
        <v>37</v>
      </c>
      <c r="M564" s="2" t="s">
        <v>38</v>
      </c>
      <c r="N564" s="4">
        <v>45079</v>
      </c>
      <c r="O564" s="3" t="str">
        <f t="shared" si="17"/>
        <v>Jun</v>
      </c>
      <c r="P564" s="13" t="s">
        <v>21</v>
      </c>
    </row>
    <row r="565" spans="1:16" x14ac:dyDescent="0.25">
      <c r="A565" s="10" t="s">
        <v>635</v>
      </c>
      <c r="B565" s="1" t="s">
        <v>92</v>
      </c>
      <c r="C565" s="1" t="s">
        <v>58</v>
      </c>
      <c r="D565" s="1" t="s">
        <v>29</v>
      </c>
      <c r="E565" s="1" t="s">
        <v>24</v>
      </c>
      <c r="F565" s="1" t="s">
        <v>48</v>
      </c>
      <c r="G565" s="1">
        <v>7</v>
      </c>
      <c r="H565" s="1">
        <f t="shared" si="16"/>
        <v>493196</v>
      </c>
      <c r="I565" s="1">
        <v>3452372</v>
      </c>
      <c r="J565" s="6">
        <v>0.14999999999999994</v>
      </c>
      <c r="K565" s="7">
        <v>2934516.2</v>
      </c>
      <c r="L565" s="1" t="s">
        <v>49</v>
      </c>
      <c r="M565" s="1" t="s">
        <v>38</v>
      </c>
      <c r="N565" s="3">
        <v>45238</v>
      </c>
      <c r="O565" s="3" t="str">
        <f t="shared" si="17"/>
        <v>Nov</v>
      </c>
      <c r="P565" s="12" t="s">
        <v>32</v>
      </c>
    </row>
    <row r="566" spans="1:16" x14ac:dyDescent="0.25">
      <c r="A566" s="11" t="s">
        <v>636</v>
      </c>
      <c r="B566" s="1" t="s">
        <v>67</v>
      </c>
      <c r="C566" s="2" t="s">
        <v>51</v>
      </c>
      <c r="D566" s="1" t="s">
        <v>16</v>
      </c>
      <c r="E566" s="1" t="s">
        <v>43</v>
      </c>
      <c r="F566" s="2" t="s">
        <v>44</v>
      </c>
      <c r="G566" s="1">
        <v>5</v>
      </c>
      <c r="H566" s="1">
        <f t="shared" si="16"/>
        <v>37007</v>
      </c>
      <c r="I566" s="2">
        <v>185035</v>
      </c>
      <c r="J566" s="6">
        <v>0.2</v>
      </c>
      <c r="K566" s="8">
        <v>148028</v>
      </c>
      <c r="L566" s="2" t="s">
        <v>60</v>
      </c>
      <c r="M566" s="2" t="s">
        <v>38</v>
      </c>
      <c r="N566" s="4">
        <v>44988</v>
      </c>
      <c r="O566" s="3" t="str">
        <f t="shared" si="17"/>
        <v>Mar</v>
      </c>
      <c r="P566" s="13" t="s">
        <v>74</v>
      </c>
    </row>
    <row r="567" spans="1:16" x14ac:dyDescent="0.25">
      <c r="A567" s="10" t="s">
        <v>637</v>
      </c>
      <c r="B567" s="1" t="s">
        <v>101</v>
      </c>
      <c r="C567" s="1" t="s">
        <v>63</v>
      </c>
      <c r="D567" s="1" t="s">
        <v>29</v>
      </c>
      <c r="E567" s="1" t="s">
        <v>43</v>
      </c>
      <c r="F567" s="1" t="s">
        <v>98</v>
      </c>
      <c r="G567" s="1">
        <v>10</v>
      </c>
      <c r="H567" s="1">
        <f t="shared" si="16"/>
        <v>286014</v>
      </c>
      <c r="I567" s="1">
        <v>2860140</v>
      </c>
      <c r="J567" s="6">
        <v>0.15</v>
      </c>
      <c r="K567" s="7">
        <v>2431119</v>
      </c>
      <c r="L567" s="1" t="s">
        <v>49</v>
      </c>
      <c r="M567" s="1" t="s">
        <v>38</v>
      </c>
      <c r="N567" s="3">
        <v>45101</v>
      </c>
      <c r="O567" s="3" t="str">
        <f t="shared" si="17"/>
        <v>Jun</v>
      </c>
      <c r="P567" s="12" t="s">
        <v>122</v>
      </c>
    </row>
    <row r="568" spans="1:16" x14ac:dyDescent="0.25">
      <c r="A568" s="11" t="s">
        <v>638</v>
      </c>
      <c r="B568" s="1" t="s">
        <v>107</v>
      </c>
      <c r="C568" s="2" t="s">
        <v>63</v>
      </c>
      <c r="D568" s="1" t="s">
        <v>29</v>
      </c>
      <c r="E568" s="1" t="s">
        <v>35</v>
      </c>
      <c r="F568" s="2" t="s">
        <v>36</v>
      </c>
      <c r="G568" s="1">
        <v>1</v>
      </c>
      <c r="H568" s="1">
        <f t="shared" si="16"/>
        <v>365612</v>
      </c>
      <c r="I568" s="2">
        <v>365612</v>
      </c>
      <c r="J568" s="6">
        <v>0</v>
      </c>
      <c r="K568" s="8">
        <v>365612</v>
      </c>
      <c r="L568" s="2" t="s">
        <v>37</v>
      </c>
      <c r="M568" s="2" t="s">
        <v>20</v>
      </c>
      <c r="N568" s="4">
        <v>45040</v>
      </c>
      <c r="O568" s="3" t="str">
        <f t="shared" si="17"/>
        <v>Apr</v>
      </c>
      <c r="P568" s="13" t="s">
        <v>65</v>
      </c>
    </row>
    <row r="569" spans="1:16" x14ac:dyDescent="0.25">
      <c r="A569" s="10" t="s">
        <v>639</v>
      </c>
      <c r="B569" s="1" t="s">
        <v>103</v>
      </c>
      <c r="C569" s="1" t="s">
        <v>28</v>
      </c>
      <c r="D569" s="1" t="s">
        <v>29</v>
      </c>
      <c r="E569" s="1" t="s">
        <v>30</v>
      </c>
      <c r="F569" s="1" t="s">
        <v>59</v>
      </c>
      <c r="G569" s="1">
        <v>7</v>
      </c>
      <c r="H569" s="1">
        <f t="shared" si="16"/>
        <v>27099</v>
      </c>
      <c r="I569" s="1">
        <v>189693</v>
      </c>
      <c r="J569" s="6">
        <v>0.20000000000000004</v>
      </c>
      <c r="K569" s="7">
        <v>151754.4</v>
      </c>
      <c r="L569" s="1" t="s">
        <v>49</v>
      </c>
      <c r="M569" s="1" t="s">
        <v>38</v>
      </c>
      <c r="N569" s="3">
        <v>45213</v>
      </c>
      <c r="O569" s="3" t="str">
        <f t="shared" si="17"/>
        <v>Oct</v>
      </c>
      <c r="P569" s="12" t="s">
        <v>45</v>
      </c>
    </row>
    <row r="570" spans="1:16" x14ac:dyDescent="0.25">
      <c r="A570" s="11" t="s">
        <v>640</v>
      </c>
      <c r="B570" s="1" t="s">
        <v>23</v>
      </c>
      <c r="C570" s="2" t="s">
        <v>70</v>
      </c>
      <c r="D570" s="1" t="s">
        <v>16</v>
      </c>
      <c r="E570" s="1" t="s">
        <v>43</v>
      </c>
      <c r="F570" s="2" t="s">
        <v>44</v>
      </c>
      <c r="G570" s="1">
        <v>3</v>
      </c>
      <c r="H570" s="1">
        <f t="shared" si="16"/>
        <v>63860</v>
      </c>
      <c r="I570" s="2">
        <v>191580</v>
      </c>
      <c r="J570" s="6">
        <v>0.2</v>
      </c>
      <c r="K570" s="8">
        <v>153264</v>
      </c>
      <c r="L570" s="2" t="s">
        <v>37</v>
      </c>
      <c r="M570" s="2" t="s">
        <v>26</v>
      </c>
      <c r="N570" s="4">
        <v>44966</v>
      </c>
      <c r="O570" s="3" t="str">
        <f t="shared" si="17"/>
        <v>Feb</v>
      </c>
      <c r="P570" s="13" t="s">
        <v>77</v>
      </c>
    </row>
    <row r="571" spans="1:16" x14ac:dyDescent="0.25">
      <c r="A571" s="10" t="s">
        <v>641</v>
      </c>
      <c r="B571" s="1" t="s">
        <v>80</v>
      </c>
      <c r="C571" s="1" t="s">
        <v>51</v>
      </c>
      <c r="D571" s="1" t="s">
        <v>16</v>
      </c>
      <c r="E571" s="1" t="s">
        <v>30</v>
      </c>
      <c r="F571" s="1" t="s">
        <v>125</v>
      </c>
      <c r="G571" s="1">
        <v>8</v>
      </c>
      <c r="H571" s="1">
        <f t="shared" si="16"/>
        <v>12592</v>
      </c>
      <c r="I571" s="1">
        <v>100736</v>
      </c>
      <c r="J571" s="6">
        <v>5.0000000000000031E-2</v>
      </c>
      <c r="K571" s="7">
        <v>95699.199999999997</v>
      </c>
      <c r="L571" s="1" t="s">
        <v>49</v>
      </c>
      <c r="M571" s="1" t="s">
        <v>26</v>
      </c>
      <c r="N571" s="3">
        <v>44982</v>
      </c>
      <c r="O571" s="3" t="str">
        <f t="shared" si="17"/>
        <v>Feb</v>
      </c>
      <c r="P571" s="12" t="s">
        <v>32</v>
      </c>
    </row>
    <row r="572" spans="1:16" x14ac:dyDescent="0.25">
      <c r="A572" s="11" t="s">
        <v>642</v>
      </c>
      <c r="B572" s="1" t="s">
        <v>67</v>
      </c>
      <c r="C572" s="2" t="s">
        <v>28</v>
      </c>
      <c r="D572" s="1" t="s">
        <v>29</v>
      </c>
      <c r="E572" s="1" t="s">
        <v>35</v>
      </c>
      <c r="F572" s="2" t="s">
        <v>36</v>
      </c>
      <c r="G572" s="1">
        <v>14</v>
      </c>
      <c r="H572" s="1">
        <f t="shared" si="16"/>
        <v>26626</v>
      </c>
      <c r="I572" s="2">
        <v>372764</v>
      </c>
      <c r="J572" s="6">
        <v>0.19999999999999996</v>
      </c>
      <c r="K572" s="8">
        <v>298211.20000000001</v>
      </c>
      <c r="L572" s="2" t="s">
        <v>49</v>
      </c>
      <c r="M572" s="2" t="s">
        <v>64</v>
      </c>
      <c r="N572" s="4">
        <v>45113</v>
      </c>
      <c r="O572" s="3" t="str">
        <f t="shared" si="17"/>
        <v>Jul</v>
      </c>
      <c r="P572" s="13" t="s">
        <v>122</v>
      </c>
    </row>
    <row r="573" spans="1:16" x14ac:dyDescent="0.25">
      <c r="A573" s="10" t="s">
        <v>643</v>
      </c>
      <c r="B573" s="1" t="s">
        <v>57</v>
      </c>
      <c r="C573" s="1" t="s">
        <v>42</v>
      </c>
      <c r="D573" s="1" t="s">
        <v>29</v>
      </c>
      <c r="E573" s="1" t="s">
        <v>24</v>
      </c>
      <c r="F573" s="1" t="s">
        <v>71</v>
      </c>
      <c r="G573" s="1">
        <v>18</v>
      </c>
      <c r="H573" s="1">
        <f t="shared" si="16"/>
        <v>5960</v>
      </c>
      <c r="I573" s="1">
        <v>107280</v>
      </c>
      <c r="J573" s="6">
        <v>0</v>
      </c>
      <c r="K573" s="7">
        <v>107280</v>
      </c>
      <c r="L573" s="1" t="s">
        <v>60</v>
      </c>
      <c r="M573" s="1" t="s">
        <v>26</v>
      </c>
      <c r="N573" s="3">
        <v>45109</v>
      </c>
      <c r="O573" s="3" t="str">
        <f t="shared" si="17"/>
        <v>Jul</v>
      </c>
      <c r="P573" s="12" t="s">
        <v>32</v>
      </c>
    </row>
    <row r="574" spans="1:16" x14ac:dyDescent="0.25">
      <c r="A574" s="11" t="s">
        <v>644</v>
      </c>
      <c r="B574" s="1" t="s">
        <v>702</v>
      </c>
      <c r="C574" s="2" t="s">
        <v>58</v>
      </c>
      <c r="D574" s="1" t="s">
        <v>29</v>
      </c>
      <c r="E574" s="1" t="s">
        <v>24</v>
      </c>
      <c r="F574" s="2" t="s">
        <v>71</v>
      </c>
      <c r="G574" s="1">
        <v>17</v>
      </c>
      <c r="H574" s="1">
        <f t="shared" si="16"/>
        <v>248905</v>
      </c>
      <c r="I574" s="2">
        <v>4231385</v>
      </c>
      <c r="J574" s="6">
        <v>0.15</v>
      </c>
      <c r="K574" s="8">
        <v>3596677.25</v>
      </c>
      <c r="L574" s="2" t="s">
        <v>49</v>
      </c>
      <c r="M574" s="2" t="s">
        <v>38</v>
      </c>
      <c r="N574" s="4">
        <v>45151</v>
      </c>
      <c r="O574" s="3" t="str">
        <f t="shared" si="17"/>
        <v>Aug</v>
      </c>
      <c r="P574" s="13" t="s">
        <v>55</v>
      </c>
    </row>
    <row r="575" spans="1:16" x14ac:dyDescent="0.25">
      <c r="A575" s="10" t="s">
        <v>645</v>
      </c>
      <c r="B575" s="1" t="s">
        <v>76</v>
      </c>
      <c r="C575" s="1" t="s">
        <v>54</v>
      </c>
      <c r="D575" s="1" t="s">
        <v>29</v>
      </c>
      <c r="E575" s="1" t="s">
        <v>35</v>
      </c>
      <c r="F575" s="1" t="s">
        <v>73</v>
      </c>
      <c r="G575" s="1">
        <v>18</v>
      </c>
      <c r="H575" s="1">
        <f t="shared" si="16"/>
        <v>293891</v>
      </c>
      <c r="I575" s="1">
        <v>5290038</v>
      </c>
      <c r="J575" s="6">
        <v>5.0000000000000072E-2</v>
      </c>
      <c r="K575" s="7">
        <v>5025536.0999999996</v>
      </c>
      <c r="L575" s="1" t="s">
        <v>49</v>
      </c>
      <c r="M575" s="1" t="s">
        <v>38</v>
      </c>
      <c r="N575" s="3">
        <v>45218</v>
      </c>
      <c r="O575" s="3" t="str">
        <f t="shared" si="17"/>
        <v>Oct</v>
      </c>
      <c r="P575" s="12" t="s">
        <v>21</v>
      </c>
    </row>
    <row r="576" spans="1:16" x14ac:dyDescent="0.25">
      <c r="A576" s="10" t="s">
        <v>646</v>
      </c>
      <c r="B576" s="1" t="s">
        <v>80</v>
      </c>
      <c r="C576" s="1" t="s">
        <v>42</v>
      </c>
      <c r="D576" s="1" t="s">
        <v>29</v>
      </c>
      <c r="E576" s="1" t="s">
        <v>17</v>
      </c>
      <c r="F576" s="1" t="s">
        <v>73</v>
      </c>
      <c r="G576" s="1">
        <v>11</v>
      </c>
      <c r="H576" s="1">
        <f t="shared" si="16"/>
        <v>15819</v>
      </c>
      <c r="I576" s="1">
        <v>174009</v>
      </c>
      <c r="J576" s="6">
        <v>0.15000000000000002</v>
      </c>
      <c r="K576" s="7">
        <v>147907.65</v>
      </c>
      <c r="L576" s="1" t="s">
        <v>49</v>
      </c>
      <c r="M576" s="1" t="s">
        <v>26</v>
      </c>
      <c r="N576" s="3">
        <v>44990</v>
      </c>
      <c r="O576" s="3" t="str">
        <f t="shared" si="17"/>
        <v>Mar</v>
      </c>
      <c r="P576" s="12" t="s">
        <v>45</v>
      </c>
    </row>
    <row r="577" spans="1:16" x14ac:dyDescent="0.25">
      <c r="A577" s="11" t="s">
        <v>288</v>
      </c>
      <c r="B577" s="1" t="s">
        <v>85</v>
      </c>
      <c r="C577" s="2" t="s">
        <v>81</v>
      </c>
      <c r="D577" s="1" t="s">
        <v>29</v>
      </c>
      <c r="E577" s="1" t="s">
        <v>30</v>
      </c>
      <c r="F577" s="2" t="s">
        <v>31</v>
      </c>
      <c r="G577" s="1">
        <v>18</v>
      </c>
      <c r="H577" s="1">
        <f t="shared" si="16"/>
        <v>53176</v>
      </c>
      <c r="I577" s="2">
        <v>957168</v>
      </c>
      <c r="J577" s="6">
        <v>0</v>
      </c>
      <c r="K577" s="8">
        <v>957168</v>
      </c>
      <c r="L577" s="2" t="s">
        <v>60</v>
      </c>
      <c r="M577" s="2" t="s">
        <v>26</v>
      </c>
      <c r="N577" s="4">
        <v>45194</v>
      </c>
      <c r="O577" s="3" t="str">
        <f t="shared" si="17"/>
        <v>Sep</v>
      </c>
      <c r="P577" s="13" t="s">
        <v>74</v>
      </c>
    </row>
    <row r="578" spans="1:16" x14ac:dyDescent="0.25">
      <c r="A578" s="10" t="s">
        <v>647</v>
      </c>
      <c r="B578" s="1" t="s">
        <v>23</v>
      </c>
      <c r="C578" s="1" t="s">
        <v>47</v>
      </c>
      <c r="D578" s="1" t="s">
        <v>16</v>
      </c>
      <c r="E578" s="1" t="s">
        <v>35</v>
      </c>
      <c r="F578" s="1" t="s">
        <v>68</v>
      </c>
      <c r="G578" s="1">
        <v>6</v>
      </c>
      <c r="H578" s="1">
        <f t="shared" ref="H578:H613" si="18">I578/G578</f>
        <v>62577</v>
      </c>
      <c r="I578" s="1">
        <v>375462</v>
      </c>
      <c r="J578" s="6">
        <v>0.20000000000000007</v>
      </c>
      <c r="K578" s="7">
        <v>300369.59999999998</v>
      </c>
      <c r="L578" s="1" t="s">
        <v>19</v>
      </c>
      <c r="M578" s="1" t="s">
        <v>26</v>
      </c>
      <c r="N578" s="3">
        <v>45030</v>
      </c>
      <c r="O578" s="3" t="str">
        <f t="shared" si="17"/>
        <v>Apr</v>
      </c>
      <c r="P578" s="12" t="s">
        <v>45</v>
      </c>
    </row>
    <row r="579" spans="1:16" x14ac:dyDescent="0.25">
      <c r="A579" s="11" t="s">
        <v>648</v>
      </c>
      <c r="B579" s="1" t="s">
        <v>107</v>
      </c>
      <c r="C579" s="2" t="s">
        <v>81</v>
      </c>
      <c r="D579" s="1" t="s">
        <v>29</v>
      </c>
      <c r="E579" s="1" t="s">
        <v>35</v>
      </c>
      <c r="F579" s="2" t="s">
        <v>68</v>
      </c>
      <c r="G579" s="1">
        <v>4</v>
      </c>
      <c r="H579" s="1">
        <f t="shared" si="18"/>
        <v>38913</v>
      </c>
      <c r="I579" s="2">
        <v>155652</v>
      </c>
      <c r="J579" s="6">
        <v>5.0000000000000037E-2</v>
      </c>
      <c r="K579" s="8">
        <v>147869.4</v>
      </c>
      <c r="L579" s="2" t="s">
        <v>60</v>
      </c>
      <c r="M579" s="2" t="s">
        <v>26</v>
      </c>
      <c r="N579" s="4">
        <f>N578</f>
        <v>45030</v>
      </c>
      <c r="O579" s="3" t="str">
        <f t="shared" ref="O579:O613" si="19">TEXT(N579,"mmm")</f>
        <v>Apr</v>
      </c>
      <c r="P579" s="13" t="s">
        <v>83</v>
      </c>
    </row>
    <row r="580" spans="1:16" x14ac:dyDescent="0.25">
      <c r="A580" s="10" t="s">
        <v>649</v>
      </c>
      <c r="B580" s="1" t="s">
        <v>119</v>
      </c>
      <c r="C580" s="1" t="s">
        <v>15</v>
      </c>
      <c r="D580" s="1" t="s">
        <v>16</v>
      </c>
      <c r="E580" s="1" t="s">
        <v>17</v>
      </c>
      <c r="F580" s="1" t="s">
        <v>73</v>
      </c>
      <c r="G580" s="1">
        <v>13</v>
      </c>
      <c r="H580" s="1">
        <f t="shared" si="18"/>
        <v>79195</v>
      </c>
      <c r="I580" s="1">
        <v>1029535</v>
      </c>
      <c r="J580" s="6">
        <v>0.05</v>
      </c>
      <c r="K580" s="7">
        <v>978058.25</v>
      </c>
      <c r="L580" s="1" t="s">
        <v>60</v>
      </c>
      <c r="M580" s="1" t="s">
        <v>20</v>
      </c>
      <c r="N580" s="3">
        <v>45061</v>
      </c>
      <c r="O580" s="3" t="str">
        <f t="shared" si="19"/>
        <v>May</v>
      </c>
      <c r="P580" s="12" t="s">
        <v>55</v>
      </c>
    </row>
    <row r="581" spans="1:16" x14ac:dyDescent="0.25">
      <c r="A581" s="11" t="s">
        <v>650</v>
      </c>
      <c r="B581" s="1" t="s">
        <v>67</v>
      </c>
      <c r="C581" s="2" t="s">
        <v>63</v>
      </c>
      <c r="D581" s="1" t="s">
        <v>29</v>
      </c>
      <c r="E581" s="1" t="s">
        <v>35</v>
      </c>
      <c r="F581" s="2" t="s">
        <v>68</v>
      </c>
      <c r="G581" s="1">
        <v>18</v>
      </c>
      <c r="H581" s="1">
        <f t="shared" si="18"/>
        <v>484193</v>
      </c>
      <c r="I581" s="2">
        <v>8715474</v>
      </c>
      <c r="J581" s="6">
        <v>0.10000000000000005</v>
      </c>
      <c r="K581" s="8">
        <v>7843926.5999999996</v>
      </c>
      <c r="L581" s="2" t="s">
        <v>19</v>
      </c>
      <c r="M581" s="2" t="s">
        <v>20</v>
      </c>
      <c r="N581" s="4">
        <v>45174</v>
      </c>
      <c r="O581" s="3" t="str">
        <f t="shared" si="19"/>
        <v>Sep</v>
      </c>
      <c r="P581" s="13" t="s">
        <v>55</v>
      </c>
    </row>
    <row r="582" spans="1:16" x14ac:dyDescent="0.25">
      <c r="A582" s="10" t="s">
        <v>651</v>
      </c>
      <c r="B582" s="1" t="s">
        <v>67</v>
      </c>
      <c r="C582" s="1" t="s">
        <v>81</v>
      </c>
      <c r="D582" s="1" t="s">
        <v>29</v>
      </c>
      <c r="E582" s="1" t="s">
        <v>17</v>
      </c>
      <c r="F582" s="1" t="s">
        <v>73</v>
      </c>
      <c r="G582" s="1">
        <v>2</v>
      </c>
      <c r="H582" s="1">
        <f t="shared" si="18"/>
        <v>38567.5</v>
      </c>
      <c r="I582" s="1">
        <v>77135</v>
      </c>
      <c r="J582" s="6">
        <v>0.05</v>
      </c>
      <c r="K582" s="7">
        <v>73278.25</v>
      </c>
      <c r="L582" s="1" t="s">
        <v>37</v>
      </c>
      <c r="M582" s="1" t="s">
        <v>26</v>
      </c>
      <c r="N582" s="3">
        <v>45118</v>
      </c>
      <c r="O582" s="3" t="str">
        <f t="shared" si="19"/>
        <v>Jul</v>
      </c>
      <c r="P582" s="12" t="s">
        <v>65</v>
      </c>
    </row>
    <row r="583" spans="1:16" x14ac:dyDescent="0.25">
      <c r="A583" s="11" t="s">
        <v>652</v>
      </c>
      <c r="B583" s="1" t="s">
        <v>107</v>
      </c>
      <c r="C583" s="2" t="s">
        <v>81</v>
      </c>
      <c r="D583" s="1" t="s">
        <v>29</v>
      </c>
      <c r="E583" s="1" t="s">
        <v>17</v>
      </c>
      <c r="F583" s="2" t="s">
        <v>18</v>
      </c>
      <c r="G583" s="1">
        <v>6</v>
      </c>
      <c r="H583" s="1">
        <f t="shared" si="18"/>
        <v>77085</v>
      </c>
      <c r="I583" s="2">
        <v>462510</v>
      </c>
      <c r="J583" s="6">
        <v>0.15</v>
      </c>
      <c r="K583" s="8">
        <v>393133.5</v>
      </c>
      <c r="L583" s="2" t="s">
        <v>60</v>
      </c>
      <c r="M583" s="2" t="s">
        <v>26</v>
      </c>
      <c r="N583" s="4">
        <v>45236</v>
      </c>
      <c r="O583" s="3" t="str">
        <f t="shared" si="19"/>
        <v>Nov</v>
      </c>
      <c r="P583" s="13" t="s">
        <v>32</v>
      </c>
    </row>
    <row r="584" spans="1:16" x14ac:dyDescent="0.25">
      <c r="A584" s="10" t="s">
        <v>653</v>
      </c>
      <c r="B584" s="1" t="s">
        <v>107</v>
      </c>
      <c r="C584" s="1" t="s">
        <v>81</v>
      </c>
      <c r="D584" s="1" t="s">
        <v>29</v>
      </c>
      <c r="E584" s="1" t="s">
        <v>35</v>
      </c>
      <c r="F584" s="1" t="s">
        <v>68</v>
      </c>
      <c r="G584" s="1">
        <v>15</v>
      </c>
      <c r="H584" s="1">
        <f t="shared" si="18"/>
        <v>52571</v>
      </c>
      <c r="I584" s="1">
        <v>788565</v>
      </c>
      <c r="J584" s="6">
        <v>0</v>
      </c>
      <c r="K584" s="7">
        <v>788565</v>
      </c>
      <c r="L584" s="1" t="s">
        <v>37</v>
      </c>
      <c r="M584" s="1" t="s">
        <v>38</v>
      </c>
      <c r="N584" s="3">
        <v>45125</v>
      </c>
      <c r="O584" s="3" t="str">
        <f t="shared" si="19"/>
        <v>Jul</v>
      </c>
      <c r="P584" s="12" t="s">
        <v>45</v>
      </c>
    </row>
    <row r="585" spans="1:16" x14ac:dyDescent="0.25">
      <c r="A585" s="11" t="s">
        <v>654</v>
      </c>
      <c r="B585" s="1" t="s">
        <v>114</v>
      </c>
      <c r="C585" s="2" t="s">
        <v>63</v>
      </c>
      <c r="D585" s="1" t="s">
        <v>29</v>
      </c>
      <c r="E585" s="1" t="s">
        <v>43</v>
      </c>
      <c r="F585" s="2" t="s">
        <v>44</v>
      </c>
      <c r="G585" s="1">
        <v>16</v>
      </c>
      <c r="H585" s="1">
        <f t="shared" si="18"/>
        <v>205332</v>
      </c>
      <c r="I585" s="2">
        <v>3285312</v>
      </c>
      <c r="J585" s="6">
        <v>0.14999999999999994</v>
      </c>
      <c r="K585" s="8">
        <v>2792515.2</v>
      </c>
      <c r="L585" s="2" t="s">
        <v>37</v>
      </c>
      <c r="M585" s="2" t="s">
        <v>38</v>
      </c>
      <c r="N585" s="4">
        <v>45084</v>
      </c>
      <c r="O585" s="3" t="str">
        <f t="shared" si="19"/>
        <v>Jun</v>
      </c>
      <c r="P585" s="13" t="s">
        <v>32</v>
      </c>
    </row>
    <row r="586" spans="1:16" x14ac:dyDescent="0.25">
      <c r="A586" s="10" t="s">
        <v>655</v>
      </c>
      <c r="B586" s="1" t="s">
        <v>67</v>
      </c>
      <c r="C586" s="1" t="s">
        <v>47</v>
      </c>
      <c r="D586" s="1" t="s">
        <v>16</v>
      </c>
      <c r="E586" s="1" t="s">
        <v>24</v>
      </c>
      <c r="F586" s="1" t="s">
        <v>71</v>
      </c>
      <c r="G586" s="1">
        <v>6</v>
      </c>
      <c r="H586" s="1">
        <f t="shared" si="18"/>
        <v>78193</v>
      </c>
      <c r="I586" s="1">
        <v>469158</v>
      </c>
      <c r="J586" s="6">
        <v>0.19999999999999996</v>
      </c>
      <c r="K586" s="7">
        <v>375326.4</v>
      </c>
      <c r="L586" s="1" t="s">
        <v>49</v>
      </c>
      <c r="M586" s="1" t="s">
        <v>20</v>
      </c>
      <c r="N586" s="3">
        <v>45245</v>
      </c>
      <c r="O586" s="3" t="str">
        <f t="shared" si="19"/>
        <v>Nov</v>
      </c>
      <c r="P586" s="12" t="s">
        <v>45</v>
      </c>
    </row>
    <row r="587" spans="1:16" x14ac:dyDescent="0.25">
      <c r="A587" s="11" t="s">
        <v>656</v>
      </c>
      <c r="B587" s="1" t="s">
        <v>76</v>
      </c>
      <c r="C587" s="2" t="s">
        <v>63</v>
      </c>
      <c r="D587" s="1" t="s">
        <v>29</v>
      </c>
      <c r="E587" s="1" t="s">
        <v>17</v>
      </c>
      <c r="F587" s="2" t="s">
        <v>18</v>
      </c>
      <c r="G587" s="1">
        <v>15</v>
      </c>
      <c r="H587" s="1">
        <f t="shared" si="18"/>
        <v>359057</v>
      </c>
      <c r="I587" s="2">
        <v>5385855</v>
      </c>
      <c r="J587" s="6">
        <v>0.15</v>
      </c>
      <c r="K587" s="8">
        <v>4577976.75</v>
      </c>
      <c r="L587" s="2" t="s">
        <v>60</v>
      </c>
      <c r="M587" s="2" t="s">
        <v>26</v>
      </c>
      <c r="N587" s="4">
        <v>45253</v>
      </c>
      <c r="O587" s="3" t="str">
        <f t="shared" si="19"/>
        <v>Nov</v>
      </c>
      <c r="P587" s="13" t="s">
        <v>45</v>
      </c>
    </row>
    <row r="588" spans="1:16" x14ac:dyDescent="0.25">
      <c r="A588" s="10" t="s">
        <v>657</v>
      </c>
      <c r="B588" s="1" t="s">
        <v>41</v>
      </c>
      <c r="C588" s="1" t="s">
        <v>42</v>
      </c>
      <c r="D588" s="1" t="s">
        <v>29</v>
      </c>
      <c r="E588" s="1" t="s">
        <v>24</v>
      </c>
      <c r="F588" s="1" t="s">
        <v>71</v>
      </c>
      <c r="G588" s="1">
        <v>13</v>
      </c>
      <c r="H588" s="1">
        <f t="shared" si="18"/>
        <v>59819</v>
      </c>
      <c r="I588" s="1">
        <v>777647</v>
      </c>
      <c r="J588" s="6">
        <v>0.20000000000000004</v>
      </c>
      <c r="K588" s="7">
        <v>622117.6</v>
      </c>
      <c r="L588" s="1" t="s">
        <v>37</v>
      </c>
      <c r="M588" s="1" t="s">
        <v>26</v>
      </c>
      <c r="N588" s="3">
        <v>45001</v>
      </c>
      <c r="O588" s="3" t="str">
        <f t="shared" si="19"/>
        <v>Mar</v>
      </c>
      <c r="P588" s="12" t="s">
        <v>32</v>
      </c>
    </row>
    <row r="589" spans="1:16" x14ac:dyDescent="0.25">
      <c r="A589" s="11" t="s">
        <v>658</v>
      </c>
      <c r="B589" s="1" t="s">
        <v>103</v>
      </c>
      <c r="C589" s="2" t="s">
        <v>28</v>
      </c>
      <c r="D589" s="1" t="s">
        <v>29</v>
      </c>
      <c r="E589" s="1" t="s">
        <v>43</v>
      </c>
      <c r="F589" s="2" t="s">
        <v>98</v>
      </c>
      <c r="G589" s="1">
        <v>7</v>
      </c>
      <c r="H589" s="1">
        <f t="shared" si="18"/>
        <v>57565</v>
      </c>
      <c r="I589" s="2">
        <v>402955</v>
      </c>
      <c r="J589" s="6">
        <v>0</v>
      </c>
      <c r="K589" s="8">
        <v>402955</v>
      </c>
      <c r="L589" s="2" t="s">
        <v>49</v>
      </c>
      <c r="M589" s="2" t="s">
        <v>26</v>
      </c>
      <c r="N589" s="4">
        <v>45072</v>
      </c>
      <c r="O589" s="3" t="str">
        <f t="shared" si="19"/>
        <v>May</v>
      </c>
      <c r="P589" s="13" t="s">
        <v>83</v>
      </c>
    </row>
    <row r="590" spans="1:16" x14ac:dyDescent="0.25">
      <c r="A590" s="10" t="s">
        <v>659</v>
      </c>
      <c r="B590" s="1" t="s">
        <v>157</v>
      </c>
      <c r="C590" s="1" t="s">
        <v>81</v>
      </c>
      <c r="D590" s="1" t="s">
        <v>29</v>
      </c>
      <c r="E590" s="1" t="s">
        <v>43</v>
      </c>
      <c r="F590" s="1" t="s">
        <v>142</v>
      </c>
      <c r="G590" s="1">
        <v>19</v>
      </c>
      <c r="H590" s="1">
        <f t="shared" si="18"/>
        <v>34567</v>
      </c>
      <c r="I590" s="1">
        <v>656773</v>
      </c>
      <c r="J590" s="6">
        <v>5.0000000000000037E-2</v>
      </c>
      <c r="K590" s="7">
        <v>623934.35</v>
      </c>
      <c r="L590" s="1" t="s">
        <v>702</v>
      </c>
      <c r="M590" s="1" t="s">
        <v>20</v>
      </c>
      <c r="N590" s="3">
        <v>45231</v>
      </c>
      <c r="O590" s="3" t="str">
        <f t="shared" si="19"/>
        <v>Nov</v>
      </c>
      <c r="P590" s="12" t="s">
        <v>65</v>
      </c>
    </row>
    <row r="591" spans="1:16" x14ac:dyDescent="0.25">
      <c r="A591" s="11" t="s">
        <v>660</v>
      </c>
      <c r="B591" s="1" t="s">
        <v>157</v>
      </c>
      <c r="C591" s="2" t="s">
        <v>70</v>
      </c>
      <c r="D591" s="1" t="s">
        <v>16</v>
      </c>
      <c r="E591" s="1" t="s">
        <v>35</v>
      </c>
      <c r="F591" s="2" t="s">
        <v>36</v>
      </c>
      <c r="G591" s="1">
        <v>4</v>
      </c>
      <c r="H591" s="1">
        <f t="shared" si="18"/>
        <v>37631</v>
      </c>
      <c r="I591" s="2">
        <v>150524</v>
      </c>
      <c r="J591" s="6">
        <v>0.15000000000000005</v>
      </c>
      <c r="K591" s="8">
        <v>127945.4</v>
      </c>
      <c r="L591" s="2" t="s">
        <v>49</v>
      </c>
      <c r="M591" s="2" t="s">
        <v>38</v>
      </c>
      <c r="N591" s="4">
        <v>45162</v>
      </c>
      <c r="O591" s="3" t="str">
        <f t="shared" si="19"/>
        <v>Aug</v>
      </c>
      <c r="P591" s="13" t="s">
        <v>55</v>
      </c>
    </row>
    <row r="592" spans="1:16" x14ac:dyDescent="0.25">
      <c r="A592" s="10" t="s">
        <v>661</v>
      </c>
      <c r="B592" s="1" t="s">
        <v>103</v>
      </c>
      <c r="C592" s="1" t="s">
        <v>47</v>
      </c>
      <c r="D592" s="1" t="s">
        <v>16</v>
      </c>
      <c r="E592" s="1" t="s">
        <v>35</v>
      </c>
      <c r="F592" s="1" t="s">
        <v>68</v>
      </c>
      <c r="G592" s="1">
        <v>5</v>
      </c>
      <c r="H592" s="1">
        <f t="shared" si="18"/>
        <v>14706</v>
      </c>
      <c r="I592" s="1">
        <v>73530</v>
      </c>
      <c r="J592" s="6">
        <v>0.15</v>
      </c>
      <c r="K592" s="7">
        <v>62500.5</v>
      </c>
      <c r="L592" s="1" t="s">
        <v>37</v>
      </c>
      <c r="M592" s="1" t="s">
        <v>64</v>
      </c>
      <c r="N592" s="3">
        <v>45258</v>
      </c>
      <c r="O592" s="3" t="str">
        <f t="shared" si="19"/>
        <v>Nov</v>
      </c>
      <c r="P592" s="12" t="s">
        <v>77</v>
      </c>
    </row>
    <row r="593" spans="1:16" x14ac:dyDescent="0.25">
      <c r="A593" s="11" t="s">
        <v>662</v>
      </c>
      <c r="B593" s="1" t="s">
        <v>67</v>
      </c>
      <c r="C593" s="2" t="s">
        <v>63</v>
      </c>
      <c r="D593" s="1" t="s">
        <v>29</v>
      </c>
      <c r="E593" s="1" t="s">
        <v>43</v>
      </c>
      <c r="F593" s="2" t="s">
        <v>98</v>
      </c>
      <c r="G593" s="1">
        <v>17</v>
      </c>
      <c r="H593" s="1">
        <f t="shared" si="18"/>
        <v>300202</v>
      </c>
      <c r="I593" s="2">
        <v>5103434</v>
      </c>
      <c r="J593" s="6">
        <v>0.19999999999999996</v>
      </c>
      <c r="K593" s="8">
        <v>4082747.2</v>
      </c>
      <c r="L593" s="2" t="s">
        <v>37</v>
      </c>
      <c r="M593" s="2" t="s">
        <v>64</v>
      </c>
      <c r="N593" s="4">
        <v>45248</v>
      </c>
      <c r="O593" s="3" t="str">
        <f t="shared" si="19"/>
        <v>Nov</v>
      </c>
      <c r="P593" s="13" t="s">
        <v>32</v>
      </c>
    </row>
    <row r="594" spans="1:16" x14ac:dyDescent="0.25">
      <c r="A594" s="10" t="s">
        <v>663</v>
      </c>
      <c r="B594" s="1" t="s">
        <v>90</v>
      </c>
      <c r="C594" s="1" t="s">
        <v>63</v>
      </c>
      <c r="D594" s="1" t="s">
        <v>29</v>
      </c>
      <c r="E594" s="1" t="s">
        <v>43</v>
      </c>
      <c r="F594" s="1" t="s">
        <v>142</v>
      </c>
      <c r="G594" s="1">
        <v>16</v>
      </c>
      <c r="H594" s="1">
        <f t="shared" si="18"/>
        <v>247680</v>
      </c>
      <c r="I594" s="1">
        <v>3962880</v>
      </c>
      <c r="J594" s="6">
        <v>0.1</v>
      </c>
      <c r="K594" s="7">
        <v>3566592</v>
      </c>
      <c r="L594" s="1" t="s">
        <v>19</v>
      </c>
      <c r="M594" s="1" t="s">
        <v>64</v>
      </c>
      <c r="N594" s="3">
        <v>45205</v>
      </c>
      <c r="O594" s="3" t="str">
        <f t="shared" si="19"/>
        <v>Oct</v>
      </c>
      <c r="P594" s="12" t="s">
        <v>83</v>
      </c>
    </row>
    <row r="595" spans="1:16" x14ac:dyDescent="0.25">
      <c r="A595" s="11" t="s">
        <v>664</v>
      </c>
      <c r="B595" s="1" t="s">
        <v>119</v>
      </c>
      <c r="C595" s="2" t="s">
        <v>15</v>
      </c>
      <c r="D595" s="1" t="s">
        <v>16</v>
      </c>
      <c r="E595" s="1" t="s">
        <v>17</v>
      </c>
      <c r="F595" s="2" t="s">
        <v>18</v>
      </c>
      <c r="G595" s="1">
        <v>2</v>
      </c>
      <c r="H595" s="1">
        <f t="shared" si="18"/>
        <v>47065</v>
      </c>
      <c r="I595" s="2">
        <v>94130</v>
      </c>
      <c r="J595" s="6">
        <v>0.15</v>
      </c>
      <c r="K595" s="8">
        <v>80010.5</v>
      </c>
      <c r="L595" s="2" t="s">
        <v>19</v>
      </c>
      <c r="M595" s="2" t="s">
        <v>20</v>
      </c>
      <c r="N595" s="4">
        <v>44943</v>
      </c>
      <c r="O595" s="3" t="str">
        <f t="shared" si="19"/>
        <v>Jan</v>
      </c>
      <c r="P595" s="13" t="s">
        <v>77</v>
      </c>
    </row>
    <row r="596" spans="1:16" x14ac:dyDescent="0.25">
      <c r="A596" s="10" t="s">
        <v>665</v>
      </c>
      <c r="B596" s="1" t="s">
        <v>67</v>
      </c>
      <c r="C596" s="1" t="s">
        <v>81</v>
      </c>
      <c r="D596" s="1" t="s">
        <v>29</v>
      </c>
      <c r="E596" s="1" t="s">
        <v>35</v>
      </c>
      <c r="F596" s="1" t="s">
        <v>36</v>
      </c>
      <c r="G596" s="1">
        <v>7</v>
      </c>
      <c r="H596" s="1">
        <f t="shared" si="18"/>
        <v>73512</v>
      </c>
      <c r="I596" s="1">
        <v>514584</v>
      </c>
      <c r="J596" s="6">
        <v>0.19999999999999998</v>
      </c>
      <c r="K596" s="7">
        <v>411667.20000000001</v>
      </c>
      <c r="L596" s="1" t="s">
        <v>49</v>
      </c>
      <c r="M596" s="1" t="s">
        <v>38</v>
      </c>
      <c r="N596" s="3">
        <v>45158</v>
      </c>
      <c r="O596" s="3" t="str">
        <f t="shared" si="19"/>
        <v>Aug</v>
      </c>
      <c r="P596" s="12" t="s">
        <v>74</v>
      </c>
    </row>
    <row r="597" spans="1:16" x14ac:dyDescent="0.25">
      <c r="A597" s="11" t="s">
        <v>666</v>
      </c>
      <c r="B597" s="1" t="s">
        <v>90</v>
      </c>
      <c r="C597" s="2" t="s">
        <v>63</v>
      </c>
      <c r="D597" s="1" t="s">
        <v>29</v>
      </c>
      <c r="E597" s="1" t="s">
        <v>43</v>
      </c>
      <c r="F597" s="2" t="s">
        <v>98</v>
      </c>
      <c r="G597" s="1">
        <v>19</v>
      </c>
      <c r="H597" s="1">
        <f t="shared" si="18"/>
        <v>497879</v>
      </c>
      <c r="I597" s="2">
        <v>9459701</v>
      </c>
      <c r="J597" s="6">
        <v>0.2</v>
      </c>
      <c r="K597" s="8">
        <v>7567760.7999999998</v>
      </c>
      <c r="L597" s="2" t="s">
        <v>60</v>
      </c>
      <c r="M597" s="2" t="s">
        <v>64</v>
      </c>
      <c r="N597" s="4">
        <v>45053</v>
      </c>
      <c r="O597" s="3" t="str">
        <f t="shared" si="19"/>
        <v>May</v>
      </c>
      <c r="P597" s="13" t="s">
        <v>74</v>
      </c>
    </row>
    <row r="598" spans="1:16" x14ac:dyDescent="0.25">
      <c r="A598" s="10" t="s">
        <v>401</v>
      </c>
      <c r="B598" s="1" t="s">
        <v>90</v>
      </c>
      <c r="C598" s="1" t="s">
        <v>81</v>
      </c>
      <c r="D598" s="1" t="s">
        <v>29</v>
      </c>
      <c r="E598" s="1" t="s">
        <v>43</v>
      </c>
      <c r="F598" s="1" t="s">
        <v>142</v>
      </c>
      <c r="G598" s="1">
        <v>17</v>
      </c>
      <c r="H598" s="1">
        <f t="shared" si="18"/>
        <v>44106</v>
      </c>
      <c r="I598" s="1">
        <v>749802</v>
      </c>
      <c r="J598" s="6">
        <v>0.15000000000000005</v>
      </c>
      <c r="K598" s="7">
        <v>637331.69999999995</v>
      </c>
      <c r="L598" s="1" t="s">
        <v>60</v>
      </c>
      <c r="M598" s="1" t="s">
        <v>38</v>
      </c>
      <c r="N598" s="3">
        <v>45091</v>
      </c>
      <c r="O598" s="3" t="str">
        <f t="shared" si="19"/>
        <v>Jun</v>
      </c>
      <c r="P598" s="12" t="s">
        <v>74</v>
      </c>
    </row>
    <row r="599" spans="1:16" x14ac:dyDescent="0.25">
      <c r="A599" s="11" t="s">
        <v>667</v>
      </c>
      <c r="B599" s="1" t="s">
        <v>34</v>
      </c>
      <c r="C599" s="2" t="s">
        <v>42</v>
      </c>
      <c r="D599" s="1" t="s">
        <v>29</v>
      </c>
      <c r="E599" s="1" t="s">
        <v>43</v>
      </c>
      <c r="F599" s="2" t="s">
        <v>44</v>
      </c>
      <c r="G599" s="1">
        <v>16</v>
      </c>
      <c r="H599" s="1">
        <f t="shared" si="18"/>
        <v>46586</v>
      </c>
      <c r="I599" s="2">
        <v>745376</v>
      </c>
      <c r="J599" s="6">
        <v>5.0000000000000065E-2</v>
      </c>
      <c r="K599" s="8">
        <v>708107.2</v>
      </c>
      <c r="L599" s="2" t="s">
        <v>19</v>
      </c>
      <c r="M599" s="2" t="s">
        <v>38</v>
      </c>
      <c r="N599" s="4">
        <v>45249</v>
      </c>
      <c r="O599" s="3" t="str">
        <f t="shared" si="19"/>
        <v>Nov</v>
      </c>
      <c r="P599" s="13" t="s">
        <v>21</v>
      </c>
    </row>
    <row r="600" spans="1:16" x14ac:dyDescent="0.25">
      <c r="A600" s="10" t="s">
        <v>668</v>
      </c>
      <c r="B600" s="1" t="s">
        <v>76</v>
      </c>
      <c r="C600" s="1" t="s">
        <v>28</v>
      </c>
      <c r="D600" s="1" t="s">
        <v>29</v>
      </c>
      <c r="E600" s="1" t="s">
        <v>43</v>
      </c>
      <c r="F600" s="1" t="s">
        <v>142</v>
      </c>
      <c r="G600" s="1">
        <v>2</v>
      </c>
      <c r="H600" s="1">
        <f t="shared" si="18"/>
        <v>12456</v>
      </c>
      <c r="I600" s="1">
        <v>24912</v>
      </c>
      <c r="J600" s="6">
        <v>0.10000000000000003</v>
      </c>
      <c r="K600" s="7">
        <v>22420.799999999999</v>
      </c>
      <c r="L600" s="1" t="s">
        <v>49</v>
      </c>
      <c r="M600" s="1" t="s">
        <v>26</v>
      </c>
      <c r="N600" s="3">
        <v>45157</v>
      </c>
      <c r="O600" s="3" t="str">
        <f t="shared" si="19"/>
        <v>Aug</v>
      </c>
      <c r="P600" s="12" t="s">
        <v>32</v>
      </c>
    </row>
    <row r="601" spans="1:16" x14ac:dyDescent="0.25">
      <c r="A601" s="11" t="s">
        <v>669</v>
      </c>
      <c r="B601" s="1" t="s">
        <v>101</v>
      </c>
      <c r="C601" s="2" t="s">
        <v>47</v>
      </c>
      <c r="D601" s="1" t="s">
        <v>16</v>
      </c>
      <c r="E601" s="1" t="s">
        <v>43</v>
      </c>
      <c r="F601" s="2" t="s">
        <v>142</v>
      </c>
      <c r="G601" s="1">
        <v>18</v>
      </c>
      <c r="H601" s="1">
        <f t="shared" si="18"/>
        <v>52942</v>
      </c>
      <c r="I601" s="2">
        <v>952956</v>
      </c>
      <c r="J601" s="6">
        <v>0</v>
      </c>
      <c r="K601" s="8">
        <v>952956</v>
      </c>
      <c r="L601" s="2" t="s">
        <v>19</v>
      </c>
      <c r="M601" s="2" t="s">
        <v>64</v>
      </c>
      <c r="N601" s="4">
        <v>45268</v>
      </c>
      <c r="O601" s="3" t="str">
        <f t="shared" si="19"/>
        <v>Dec</v>
      </c>
      <c r="P601" s="13" t="s">
        <v>65</v>
      </c>
    </row>
    <row r="602" spans="1:16" x14ac:dyDescent="0.25">
      <c r="A602" s="11" t="s">
        <v>670</v>
      </c>
      <c r="B602" s="1" t="s">
        <v>107</v>
      </c>
      <c r="C602" s="2" t="s">
        <v>15</v>
      </c>
      <c r="D602" s="1" t="s">
        <v>16</v>
      </c>
      <c r="E602" s="1" t="s">
        <v>30</v>
      </c>
      <c r="F602" s="2" t="s">
        <v>59</v>
      </c>
      <c r="G602" s="1">
        <v>4</v>
      </c>
      <c r="H602" s="1">
        <f t="shared" si="18"/>
        <v>62711</v>
      </c>
      <c r="I602" s="2">
        <v>250844</v>
      </c>
      <c r="J602" s="6">
        <v>0</v>
      </c>
      <c r="K602" s="8">
        <v>250844</v>
      </c>
      <c r="L602" s="2" t="s">
        <v>49</v>
      </c>
      <c r="M602" s="2" t="s">
        <v>38</v>
      </c>
      <c r="N602" s="4">
        <v>45135</v>
      </c>
      <c r="O602" s="3" t="str">
        <f t="shared" si="19"/>
        <v>Jul</v>
      </c>
      <c r="P602" s="13" t="s">
        <v>21</v>
      </c>
    </row>
    <row r="603" spans="1:16" x14ac:dyDescent="0.25">
      <c r="A603" s="10" t="s">
        <v>671</v>
      </c>
      <c r="B603" s="1" t="s">
        <v>101</v>
      </c>
      <c r="C603" s="1" t="s">
        <v>51</v>
      </c>
      <c r="D603" s="1" t="s">
        <v>16</v>
      </c>
      <c r="E603" s="1" t="s">
        <v>35</v>
      </c>
      <c r="F603" s="1" t="s">
        <v>36</v>
      </c>
      <c r="G603" s="1">
        <v>5</v>
      </c>
      <c r="H603" s="1">
        <f t="shared" si="18"/>
        <v>12345</v>
      </c>
      <c r="I603" s="1">
        <v>61725</v>
      </c>
      <c r="J603" s="6">
        <v>0.1</v>
      </c>
      <c r="K603" s="7">
        <v>55552.5</v>
      </c>
      <c r="L603" s="1" t="s">
        <v>37</v>
      </c>
      <c r="M603" s="1" t="s">
        <v>38</v>
      </c>
      <c r="N603" s="3">
        <v>45043</v>
      </c>
      <c r="O603" s="3" t="str">
        <f t="shared" si="19"/>
        <v>Apr</v>
      </c>
      <c r="P603" s="12" t="s">
        <v>65</v>
      </c>
    </row>
    <row r="604" spans="1:16" x14ac:dyDescent="0.25">
      <c r="A604" s="11" t="s">
        <v>672</v>
      </c>
      <c r="B604" s="1" t="s">
        <v>107</v>
      </c>
      <c r="C604" s="2" t="s">
        <v>63</v>
      </c>
      <c r="D604" s="1" t="s">
        <v>29</v>
      </c>
      <c r="E604" s="1" t="s">
        <v>30</v>
      </c>
      <c r="F604" s="2" t="s">
        <v>48</v>
      </c>
      <c r="G604" s="1">
        <v>6</v>
      </c>
      <c r="H604" s="1">
        <f t="shared" si="18"/>
        <v>184402</v>
      </c>
      <c r="I604" s="2">
        <v>1106412</v>
      </c>
      <c r="J604" s="6">
        <v>9.9999999999999964E-2</v>
      </c>
      <c r="K604" s="8">
        <v>995770.8</v>
      </c>
      <c r="L604" s="2" t="s">
        <v>60</v>
      </c>
      <c r="M604" s="2" t="s">
        <v>64</v>
      </c>
      <c r="N604" s="4">
        <v>45110</v>
      </c>
      <c r="O604" s="3" t="str">
        <f t="shared" si="19"/>
        <v>Jul</v>
      </c>
      <c r="P604" s="13" t="s">
        <v>122</v>
      </c>
    </row>
    <row r="605" spans="1:16" x14ac:dyDescent="0.25">
      <c r="A605" s="11" t="s">
        <v>673</v>
      </c>
      <c r="B605" s="1" t="s">
        <v>92</v>
      </c>
      <c r="C605" s="2" t="s">
        <v>47</v>
      </c>
      <c r="D605" s="1" t="s">
        <v>16</v>
      </c>
      <c r="E605" s="1" t="s">
        <v>24</v>
      </c>
      <c r="F605" s="2" t="s">
        <v>71</v>
      </c>
      <c r="G605" s="1">
        <v>6</v>
      </c>
      <c r="H605" s="1">
        <f t="shared" si="18"/>
        <v>76253</v>
      </c>
      <c r="I605" s="2">
        <v>457518</v>
      </c>
      <c r="J605" s="6">
        <v>9.9999999999999978E-2</v>
      </c>
      <c r="K605" s="8">
        <v>411766.2</v>
      </c>
      <c r="L605" s="2" t="s">
        <v>37</v>
      </c>
      <c r="M605" s="2" t="s">
        <v>20</v>
      </c>
      <c r="N605" s="4">
        <f>N604</f>
        <v>45110</v>
      </c>
      <c r="O605" s="3" t="str">
        <f t="shared" si="19"/>
        <v>Jul</v>
      </c>
      <c r="P605" s="13" t="s">
        <v>32</v>
      </c>
    </row>
    <row r="606" spans="1:16" x14ac:dyDescent="0.25">
      <c r="A606" s="10" t="s">
        <v>674</v>
      </c>
      <c r="B606" s="1" t="s">
        <v>80</v>
      </c>
      <c r="C606" s="1" t="s">
        <v>81</v>
      </c>
      <c r="D606" s="1" t="s">
        <v>29</v>
      </c>
      <c r="E606" s="1" t="s">
        <v>30</v>
      </c>
      <c r="F606" s="1" t="s">
        <v>59</v>
      </c>
      <c r="G606" s="1">
        <v>14</v>
      </c>
      <c r="H606" s="1">
        <f t="shared" si="18"/>
        <v>19534</v>
      </c>
      <c r="I606" s="1">
        <v>273476</v>
      </c>
      <c r="J606" s="6">
        <v>0.10000000000000002</v>
      </c>
      <c r="K606" s="7">
        <v>246128.4</v>
      </c>
      <c r="L606" s="1" t="s">
        <v>19</v>
      </c>
      <c r="M606" s="1" t="s">
        <v>64</v>
      </c>
      <c r="N606" s="3">
        <v>45029</v>
      </c>
      <c r="O606" s="3" t="str">
        <f t="shared" si="19"/>
        <v>Apr</v>
      </c>
      <c r="P606" s="12" t="s">
        <v>74</v>
      </c>
    </row>
    <row r="607" spans="1:16" x14ac:dyDescent="0.25">
      <c r="A607" s="11" t="s">
        <v>512</v>
      </c>
      <c r="B607" s="1" t="s">
        <v>23</v>
      </c>
      <c r="C607" s="2" t="s">
        <v>15</v>
      </c>
      <c r="D607" s="1" t="s">
        <v>16</v>
      </c>
      <c r="E607" s="1" t="s">
        <v>30</v>
      </c>
      <c r="F607" s="2" t="s">
        <v>31</v>
      </c>
      <c r="G607" s="1">
        <v>17</v>
      </c>
      <c r="H607" s="1">
        <f t="shared" si="18"/>
        <v>71809</v>
      </c>
      <c r="I607" s="2">
        <v>1220753</v>
      </c>
      <c r="J607" s="6">
        <v>0.19999999999999998</v>
      </c>
      <c r="K607" s="8">
        <v>976602.4</v>
      </c>
      <c r="L607" s="2" t="s">
        <v>19</v>
      </c>
      <c r="M607" s="2" t="s">
        <v>26</v>
      </c>
      <c r="N607" s="4">
        <v>45261</v>
      </c>
      <c r="O607" s="3" t="str">
        <f t="shared" si="19"/>
        <v>Dec</v>
      </c>
      <c r="P607" s="13" t="s">
        <v>77</v>
      </c>
    </row>
    <row r="608" spans="1:16" x14ac:dyDescent="0.25">
      <c r="A608" s="10" t="s">
        <v>675</v>
      </c>
      <c r="B608" s="1" t="s">
        <v>119</v>
      </c>
      <c r="C608" s="1" t="s">
        <v>28</v>
      </c>
      <c r="D608" s="1" t="s">
        <v>29</v>
      </c>
      <c r="E608" s="1" t="s">
        <v>17</v>
      </c>
      <c r="F608" s="1" t="s">
        <v>82</v>
      </c>
      <c r="G608" s="1">
        <v>3</v>
      </c>
      <c r="H608" s="1">
        <f t="shared" si="18"/>
        <v>63082</v>
      </c>
      <c r="I608" s="1">
        <v>189246</v>
      </c>
      <c r="J608" s="6">
        <v>0.20000000000000007</v>
      </c>
      <c r="K608" s="7">
        <v>151396.79999999999</v>
      </c>
      <c r="L608" s="1" t="s">
        <v>49</v>
      </c>
      <c r="M608" s="1" t="s">
        <v>64</v>
      </c>
      <c r="N608" s="3">
        <v>45081</v>
      </c>
      <c r="O608" s="3" t="str">
        <f t="shared" si="19"/>
        <v>Jun</v>
      </c>
      <c r="P608" s="12" t="s">
        <v>45</v>
      </c>
    </row>
    <row r="609" spans="1:16" x14ac:dyDescent="0.25">
      <c r="A609" s="11" t="s">
        <v>676</v>
      </c>
      <c r="B609" s="1" t="s">
        <v>53</v>
      </c>
      <c r="C609" s="2" t="s">
        <v>81</v>
      </c>
      <c r="D609" s="1" t="s">
        <v>29</v>
      </c>
      <c r="E609" s="1" t="s">
        <v>17</v>
      </c>
      <c r="F609" s="2" t="s">
        <v>82</v>
      </c>
      <c r="G609" s="1">
        <v>8</v>
      </c>
      <c r="H609" s="1">
        <f t="shared" si="18"/>
        <v>27782</v>
      </c>
      <c r="I609" s="2">
        <v>222256</v>
      </c>
      <c r="J609" s="6">
        <v>0.20000000000000004</v>
      </c>
      <c r="K609" s="8">
        <v>177804.79999999999</v>
      </c>
      <c r="L609" s="2" t="s">
        <v>49</v>
      </c>
      <c r="M609" s="2" t="s">
        <v>26</v>
      </c>
      <c r="N609" s="4">
        <v>45161</v>
      </c>
      <c r="O609" s="3" t="str">
        <f t="shared" si="19"/>
        <v>Aug</v>
      </c>
      <c r="P609" s="13" t="s">
        <v>74</v>
      </c>
    </row>
    <row r="610" spans="1:16" x14ac:dyDescent="0.25">
      <c r="A610" s="10" t="s">
        <v>677</v>
      </c>
      <c r="B610" s="1" t="s">
        <v>41</v>
      </c>
      <c r="C610" s="1" t="s">
        <v>51</v>
      </c>
      <c r="D610" s="1" t="s">
        <v>16</v>
      </c>
      <c r="E610" s="1" t="s">
        <v>17</v>
      </c>
      <c r="F610" s="1" t="s">
        <v>82</v>
      </c>
      <c r="G610" s="1">
        <v>20</v>
      </c>
      <c r="H610" s="1">
        <f t="shared" si="18"/>
        <v>5371</v>
      </c>
      <c r="I610" s="1">
        <v>107420</v>
      </c>
      <c r="J610" s="6">
        <v>0.1</v>
      </c>
      <c r="K610" s="7">
        <v>96678</v>
      </c>
      <c r="L610" s="1" t="s">
        <v>19</v>
      </c>
      <c r="M610" s="1" t="s">
        <v>38</v>
      </c>
      <c r="N610" s="3">
        <v>44979</v>
      </c>
      <c r="O610" s="3" t="str">
        <f t="shared" si="19"/>
        <v>Feb</v>
      </c>
      <c r="P610" s="12" t="s">
        <v>39</v>
      </c>
    </row>
    <row r="611" spans="1:16" x14ac:dyDescent="0.25">
      <c r="A611" s="11" t="s">
        <v>678</v>
      </c>
      <c r="B611" s="1" t="s">
        <v>103</v>
      </c>
      <c r="C611" s="2" t="s">
        <v>81</v>
      </c>
      <c r="D611" s="1" t="s">
        <v>29</v>
      </c>
      <c r="E611" s="1" t="s">
        <v>24</v>
      </c>
      <c r="F611" s="2" t="s">
        <v>48</v>
      </c>
      <c r="G611" s="1">
        <v>19</v>
      </c>
      <c r="H611" s="1">
        <f t="shared" si="18"/>
        <v>6110</v>
      </c>
      <c r="I611" s="2">
        <v>116090</v>
      </c>
      <c r="J611" s="6">
        <v>0.2</v>
      </c>
      <c r="K611" s="8">
        <v>92872</v>
      </c>
      <c r="L611" s="2" t="s">
        <v>19</v>
      </c>
      <c r="M611" s="2" t="s">
        <v>38</v>
      </c>
      <c r="N611" s="4">
        <v>45254</v>
      </c>
      <c r="O611" s="3" t="str">
        <f t="shared" si="19"/>
        <v>Nov</v>
      </c>
      <c r="P611" s="13" t="s">
        <v>21</v>
      </c>
    </row>
    <row r="612" spans="1:16" x14ac:dyDescent="0.25">
      <c r="A612" s="10" t="s">
        <v>679</v>
      </c>
      <c r="B612" s="1" t="s">
        <v>101</v>
      </c>
      <c r="C612" s="1" t="s">
        <v>28</v>
      </c>
      <c r="D612" s="1" t="s">
        <v>29</v>
      </c>
      <c r="E612" s="1" t="s">
        <v>30</v>
      </c>
      <c r="F612" s="1" t="s">
        <v>31</v>
      </c>
      <c r="G612" s="1">
        <v>1</v>
      </c>
      <c r="H612" s="1">
        <f t="shared" si="18"/>
        <v>6549</v>
      </c>
      <c r="I612" s="1">
        <v>6549</v>
      </c>
      <c r="J612" s="6">
        <v>4.9999999999999975E-2</v>
      </c>
      <c r="K612" s="7">
        <v>6221.55</v>
      </c>
      <c r="L612" s="1" t="s">
        <v>49</v>
      </c>
      <c r="M612" s="1" t="s">
        <v>20</v>
      </c>
      <c r="N612" s="3">
        <v>45097</v>
      </c>
      <c r="O612" s="3" t="str">
        <f t="shared" si="19"/>
        <v>Jun</v>
      </c>
      <c r="P612" s="12" t="s">
        <v>65</v>
      </c>
    </row>
    <row r="613" spans="1:16" x14ac:dyDescent="0.25">
      <c r="A613" s="20" t="s">
        <v>680</v>
      </c>
      <c r="B613" s="21" t="s">
        <v>67</v>
      </c>
      <c r="C613" s="22" t="s">
        <v>42</v>
      </c>
      <c r="D613" s="21" t="s">
        <v>29</v>
      </c>
      <c r="E613" s="21" t="s">
        <v>43</v>
      </c>
      <c r="F613" s="22" t="s">
        <v>44</v>
      </c>
      <c r="G613" s="21">
        <v>15</v>
      </c>
      <c r="H613" s="21">
        <f t="shared" si="18"/>
        <v>53629</v>
      </c>
      <c r="I613" s="22">
        <v>804435</v>
      </c>
      <c r="J613" s="23">
        <v>0.2</v>
      </c>
      <c r="K613" s="24">
        <v>643548</v>
      </c>
      <c r="L613" s="22" t="s">
        <v>60</v>
      </c>
      <c r="M613" s="22" t="s">
        <v>26</v>
      </c>
      <c r="N613" s="25">
        <v>45027</v>
      </c>
      <c r="O613" s="26" t="str">
        <f t="shared" si="19"/>
        <v>Apr</v>
      </c>
      <c r="P613" s="27" t="s">
        <v>83</v>
      </c>
    </row>
    <row r="614" spans="1:16" x14ac:dyDescent="0.25">
      <c r="N614"/>
      <c r="O614"/>
    </row>
    <row r="615" spans="1:16" x14ac:dyDescent="0.25">
      <c r="N615"/>
      <c r="O615"/>
    </row>
    <row r="616" spans="1:16" x14ac:dyDescent="0.25">
      <c r="N616"/>
      <c r="O616"/>
    </row>
    <row r="617" spans="1:16" x14ac:dyDescent="0.25">
      <c r="N617"/>
      <c r="O617"/>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B85FB-1051-4CAA-A460-7F64F7E622B6}">
  <dimension ref="F12"/>
  <sheetViews>
    <sheetView showGridLines="0" tabSelected="1" topLeftCell="F3" zoomScale="77" zoomScaleNormal="54" workbookViewId="0">
      <selection activeCell="F16" sqref="F16"/>
    </sheetView>
  </sheetViews>
  <sheetFormatPr defaultRowHeight="15" x14ac:dyDescent="0.25"/>
  <cols>
    <col min="6" max="6" width="14.85546875" bestFit="1" customWidth="1"/>
  </cols>
  <sheetData>
    <row r="12" spans="6:6" x14ac:dyDescent="0.25">
      <c r="F12" s="3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Messy 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2026-07-04T12:40:28Z</dcterms:created>
  <dcterms:modified xsi:type="dcterms:W3CDTF">2026-07-16T11:05:58Z</dcterms:modified>
</cp:coreProperties>
</file>